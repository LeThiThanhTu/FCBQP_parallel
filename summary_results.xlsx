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Tu\Downloads\FCBQP_parallel\"/>
    </mc:Choice>
  </mc:AlternateContent>
  <xr:revisionPtr revIDLastSave="0" documentId="13_ncr:1_{2887FB15-EDBB-428A-B41A-A1255DABA9FB}" xr6:coauthVersionLast="47" xr6:coauthVersionMax="47" xr10:uidLastSave="{00000000-0000-0000-0000-000000000000}"/>
  <bookViews>
    <workbookView xWindow="-108" yWindow="-108" windowWidth="23256" windowHeight="12456" xr2:uid="{82BDEFC4-01A7-4C40-9695-256D581AEFD9}"/>
  </bookViews>
  <sheets>
    <sheet name="FCBQP_1core_5runs_summary" sheetId="1" r:id="rId1"/>
  </sheets>
  <calcPr calcId="191029"/>
</workbook>
</file>

<file path=xl/calcChain.xml><?xml version="1.0" encoding="utf-8"?>
<calcChain xmlns="http://schemas.openxmlformats.org/spreadsheetml/2006/main">
  <c r="M363" i="1" l="1"/>
  <c r="M214" i="1"/>
  <c r="N351" i="1"/>
  <c r="R98" i="1"/>
  <c r="P98" i="1" a="1"/>
  <c r="P98" i="1" s="1"/>
  <c r="O98" i="1" a="1"/>
  <c r="O98" i="1"/>
  <c r="N98" i="1"/>
  <c r="L98" i="1" a="1"/>
  <c r="L98" i="1"/>
  <c r="K98" i="1" a="1"/>
  <c r="K98" i="1" s="1"/>
  <c r="J98" i="1"/>
  <c r="H98" i="1" a="1"/>
  <c r="H98" i="1"/>
  <c r="G98" i="1" a="1"/>
  <c r="G98" i="1" s="1"/>
  <c r="P363" i="1" a="1"/>
  <c r="P363" i="1" s="1"/>
  <c r="O363" i="1" a="1"/>
  <c r="O363" i="1" s="1"/>
  <c r="L363" i="1" a="1"/>
  <c r="L363" i="1" s="1"/>
  <c r="K363" i="1" a="1"/>
  <c r="K363" i="1" s="1"/>
  <c r="H363" i="1" a="1"/>
  <c r="H363" i="1" s="1"/>
  <c r="G363" i="1" a="1"/>
  <c r="G363" i="1" s="1"/>
  <c r="G357" i="1" a="1"/>
  <c r="G357" i="1" s="1"/>
  <c r="R363" i="1"/>
  <c r="N363" i="1"/>
  <c r="J363" i="1"/>
  <c r="P357" i="1" a="1"/>
  <c r="P357" i="1" s="1"/>
  <c r="O357" i="1" a="1"/>
  <c r="O357" i="1" s="1"/>
  <c r="L357" i="1" a="1"/>
  <c r="L357" i="1" s="1"/>
  <c r="K357" i="1" a="1"/>
  <c r="K357" i="1" s="1"/>
  <c r="H357" i="1" a="1"/>
  <c r="H357" i="1" s="1"/>
  <c r="G351" i="1" a="1"/>
  <c r="G351" i="1" s="1"/>
  <c r="R357" i="1"/>
  <c r="N357" i="1"/>
  <c r="J357" i="1"/>
  <c r="P351" i="1" a="1"/>
  <c r="P351" i="1" s="1"/>
  <c r="O351" i="1" a="1"/>
  <c r="O351" i="1" s="1"/>
  <c r="L351" i="1" a="1"/>
  <c r="L351" i="1" s="1"/>
  <c r="K351" i="1" a="1"/>
  <c r="K351" i="1" s="1"/>
  <c r="H351" i="1" a="1"/>
  <c r="H351" i="1" s="1"/>
  <c r="G345" i="1" a="1"/>
  <c r="G345" i="1" s="1"/>
  <c r="R351" i="1"/>
  <c r="J351" i="1"/>
  <c r="P345" i="1" a="1"/>
  <c r="P345" i="1" s="1"/>
  <c r="O345" i="1" a="1"/>
  <c r="O345" i="1" s="1"/>
  <c r="L345" i="1" a="1"/>
  <c r="L345" i="1" s="1"/>
  <c r="K345" i="1" a="1"/>
  <c r="K345" i="1" s="1"/>
  <c r="H345" i="1" a="1"/>
  <c r="H345" i="1" s="1"/>
  <c r="G339" i="1" a="1"/>
  <c r="G339" i="1" s="1"/>
  <c r="R345" i="1"/>
  <c r="N345" i="1"/>
  <c r="J345" i="1"/>
  <c r="P339" i="1" a="1"/>
  <c r="P339" i="1" s="1"/>
  <c r="O339" i="1" a="1"/>
  <c r="O339" i="1" s="1"/>
  <c r="L339" i="1" a="1"/>
  <c r="L339" i="1" s="1"/>
  <c r="K339" i="1" a="1"/>
  <c r="K339" i="1" s="1"/>
  <c r="H339" i="1" a="1"/>
  <c r="H339" i="1" s="1"/>
  <c r="G267" i="1" a="1"/>
  <c r="G267" i="1" s="1"/>
  <c r="R339" i="1"/>
  <c r="N339" i="1"/>
  <c r="J339" i="1"/>
  <c r="Q288" i="1"/>
  <c r="M288" i="1"/>
  <c r="I288" i="1"/>
  <c r="R288" i="1"/>
  <c r="N288" i="1"/>
  <c r="J288" i="1"/>
  <c r="P267" i="1" a="1"/>
  <c r="P267" i="1" s="1"/>
  <c r="O267" i="1" a="1"/>
  <c r="O267" i="1" s="1"/>
  <c r="L267" i="1" a="1"/>
  <c r="L267" i="1" s="1"/>
  <c r="K267" i="1" a="1"/>
  <c r="K267" i="1" s="1"/>
  <c r="H267" i="1" a="1"/>
  <c r="H267" i="1" s="1"/>
  <c r="G256" i="1" a="1"/>
  <c r="G256" i="1" s="1"/>
  <c r="R267" i="1"/>
  <c r="N267" i="1"/>
  <c r="J267" i="1"/>
  <c r="P256" i="1" a="1"/>
  <c r="P256" i="1" s="1"/>
  <c r="O256" i="1" a="1"/>
  <c r="O256" i="1" s="1"/>
  <c r="K256" i="1" a="1"/>
  <c r="K256" i="1" s="1"/>
  <c r="P214" i="1" a="1"/>
  <c r="P214" i="1" s="1"/>
  <c r="L256" i="1" a="1"/>
  <c r="L256" i="1" s="1"/>
  <c r="H256" i="1" a="1"/>
  <c r="H256" i="1" s="1"/>
  <c r="G214" i="1" a="1"/>
  <c r="G214" i="1" s="1"/>
  <c r="R256" i="1"/>
  <c r="N256" i="1"/>
  <c r="J256" i="1"/>
  <c r="Q235" i="1"/>
  <c r="M235" i="1"/>
  <c r="I235" i="1"/>
  <c r="R235" i="1"/>
  <c r="N235" i="1"/>
  <c r="J235" i="1"/>
  <c r="H214" i="1" a="1"/>
  <c r="H214" i="1" s="1"/>
  <c r="G172" i="1" a="1"/>
  <c r="G172" i="1" s="1"/>
  <c r="R214" i="1"/>
  <c r="N214" i="1"/>
  <c r="J214" i="1"/>
  <c r="Q193" i="1"/>
  <c r="M193" i="1"/>
  <c r="I193" i="1"/>
  <c r="R193" i="1"/>
  <c r="N193" i="1"/>
  <c r="J193" i="1"/>
  <c r="R172" i="1"/>
  <c r="O172" i="1" a="1"/>
  <c r="O172" i="1" s="1"/>
  <c r="P172" i="1" a="1"/>
  <c r="P172" i="1" s="1"/>
  <c r="L172" i="1" a="1"/>
  <c r="L172" i="1" s="1"/>
  <c r="K172" i="1" a="1"/>
  <c r="K172" i="1" s="1"/>
  <c r="N172" i="1"/>
  <c r="H172" i="1" a="1"/>
  <c r="H172" i="1" s="1"/>
  <c r="G109" i="1" a="1"/>
  <c r="G109" i="1" s="1"/>
  <c r="J172" i="1"/>
  <c r="R151" i="1"/>
  <c r="Q151" i="1"/>
  <c r="N151" i="1"/>
  <c r="M151" i="1"/>
  <c r="J151" i="1"/>
  <c r="I151" i="1"/>
  <c r="J130" i="1"/>
  <c r="N130" i="1"/>
  <c r="R130" i="1"/>
  <c r="Q130" i="1"/>
  <c r="M130" i="1"/>
  <c r="I130" i="1"/>
  <c r="R109" i="1"/>
  <c r="P109" i="1" a="1"/>
  <c r="P109" i="1" s="1"/>
  <c r="O109" i="1" a="1"/>
  <c r="O109" i="1" s="1"/>
  <c r="N109" i="1"/>
  <c r="L109" i="1" a="1"/>
  <c r="L109" i="1" s="1"/>
  <c r="K109" i="1" a="1"/>
  <c r="K109" i="1" s="1"/>
  <c r="J109" i="1"/>
  <c r="H109" i="1" a="1"/>
  <c r="H109" i="1" s="1"/>
  <c r="G56" i="1" a="1"/>
  <c r="G56" i="1" s="1"/>
  <c r="R56" i="1"/>
  <c r="P56" i="1" a="1"/>
  <c r="P56" i="1" s="1"/>
  <c r="O56" i="1" a="1"/>
  <c r="O56" i="1" s="1"/>
  <c r="K56" i="1" a="1"/>
  <c r="K56" i="1" s="1"/>
  <c r="N56" i="1"/>
  <c r="L56" i="1" a="1"/>
  <c r="L56" i="1" s="1"/>
  <c r="J56" i="1"/>
  <c r="H56" i="1" a="1"/>
  <c r="H56" i="1" s="1"/>
</calcChain>
</file>

<file path=xl/sharedStrings.xml><?xml version="1.0" encoding="utf-8"?>
<sst xmlns="http://schemas.openxmlformats.org/spreadsheetml/2006/main" count="1074" uniqueCount="397">
  <si>
    <t>dataset</t>
  </si>
  <si>
    <t>instance</t>
  </si>
  <si>
    <t>n</t>
  </si>
  <si>
    <t>k</t>
  </si>
  <si>
    <t>d</t>
  </si>
  <si>
    <t>best found obj</t>
  </si>
  <si>
    <t>avg obj</t>
  </si>
  <si>
    <t>Avg. TTS</t>
  </si>
  <si>
    <t>#Succ</t>
  </si>
  <si>
    <t>unknown</t>
  </si>
  <si>
    <t>4elt.graph</t>
  </si>
  <si>
    <t>bcsstk29.graph</t>
  </si>
  <si>
    <t>bcsstk30.graph</t>
  </si>
  <si>
    <t>crack.graph</t>
  </si>
  <si>
    <t>cti.graph</t>
  </si>
  <si>
    <t>fe_4elt2.graph</t>
  </si>
  <si>
    <t>fe_sphere.graph</t>
  </si>
  <si>
    <t>ca-AstroPh_n18772_m57</t>
  </si>
  <si>
    <t>email_n1133_m12</t>
  </si>
  <si>
    <t>jazz_n198_m30</t>
  </si>
  <si>
    <t>brock200_2_m12</t>
  </si>
  <si>
    <t>brock200_4_m17</t>
  </si>
  <si>
    <t>brock400_2_m29</t>
  </si>
  <si>
    <t>brock400_4_m33</t>
  </si>
  <si>
    <t>brock800_2_m24</t>
  </si>
  <si>
    <t>brock800_4_m26</t>
  </si>
  <si>
    <t>C1000.9_m68</t>
  </si>
  <si>
    <t>C125.9_m34</t>
  </si>
  <si>
    <t>C2000.5_m16</t>
  </si>
  <si>
    <t>C2000.9_m80</t>
  </si>
  <si>
    <t>C250.9_m44</t>
  </si>
  <si>
    <t>C4000.5_m18</t>
  </si>
  <si>
    <t>C500.9_m57</t>
  </si>
  <si>
    <t>DSJC1000_5_m15</t>
  </si>
  <si>
    <t>DSJC500_5_m13</t>
  </si>
  <si>
    <t>gen200_p0.9_44_m44</t>
  </si>
  <si>
    <t>gen200_p0.9_55_m55</t>
  </si>
  <si>
    <t>gen400_p0.9_55_m55</t>
  </si>
  <si>
    <t>gen400_p0.9_65_m65</t>
  </si>
  <si>
    <t>gen400_p0.9_75_m75</t>
  </si>
  <si>
    <t>hamming10-4_m40</t>
  </si>
  <si>
    <t>hamming8-4_m16</t>
  </si>
  <si>
    <t>keller4_m11</t>
  </si>
  <si>
    <t>keller5_m27</t>
  </si>
  <si>
    <t>keller6_m59</t>
  </si>
  <si>
    <t>MANN_a27_m126</t>
  </si>
  <si>
    <t>MANN_a45_m345</t>
  </si>
  <si>
    <t>MANN_a81_m1100</t>
  </si>
  <si>
    <t>p_hat1500-1_m12</t>
  </si>
  <si>
    <t>p_hat1500-2_m65</t>
  </si>
  <si>
    <t>p_hat1500-3_m94</t>
  </si>
  <si>
    <t>p_hat300-1_m8</t>
  </si>
  <si>
    <t>p_hat300-2_m25</t>
  </si>
  <si>
    <t>p_hat300-3_m36</t>
  </si>
  <si>
    <t>p_hat700-1_m11</t>
  </si>
  <si>
    <t>p_hat700-2_m44</t>
  </si>
  <si>
    <t>p_hat700-3_m62</t>
  </si>
  <si>
    <t>frb100-40</t>
  </si>
  <si>
    <t>frb30-15-1</t>
  </si>
  <si>
    <t>frb30-15-2</t>
  </si>
  <si>
    <t>frb30-15-3</t>
  </si>
  <si>
    <t>frb30-15-4</t>
  </si>
  <si>
    <t>frb30-15-5</t>
  </si>
  <si>
    <t>frb35-17-1</t>
  </si>
  <si>
    <t>frb35-17-2</t>
  </si>
  <si>
    <t>frb35-17-3</t>
  </si>
  <si>
    <t>frb35-17-4</t>
  </si>
  <si>
    <t>frb35-17-5</t>
  </si>
  <si>
    <t>frb40-19-1</t>
  </si>
  <si>
    <t>frb40-19-2</t>
  </si>
  <si>
    <t>frb40-19-3</t>
  </si>
  <si>
    <t>frb40-19-4</t>
  </si>
  <si>
    <t>frb40-19-5</t>
  </si>
  <si>
    <t>frb45-21-1</t>
  </si>
  <si>
    <t>frb45-21-2</t>
  </si>
  <si>
    <t>frb45-21-3</t>
  </si>
  <si>
    <t>frb45-21-4</t>
  </si>
  <si>
    <t>frb45-21-5</t>
  </si>
  <si>
    <t>frb50-23-1</t>
  </si>
  <si>
    <t>frb50-23-2</t>
  </si>
  <si>
    <t>frb50-23-3</t>
  </si>
  <si>
    <t>frb50-23-4</t>
  </si>
  <si>
    <t>frb50-23-5</t>
  </si>
  <si>
    <t>frb53-24-1</t>
  </si>
  <si>
    <t>frb53-24-2</t>
  </si>
  <si>
    <t>frb53-24-3</t>
  </si>
  <si>
    <t>frb53-24-4</t>
  </si>
  <si>
    <t>frb53-24-5</t>
  </si>
  <si>
    <t>frb59-26-1</t>
  </si>
  <si>
    <t>frb59-26-2</t>
  </si>
  <si>
    <t>frb59-26-3</t>
  </si>
  <si>
    <t>frb59-26-4</t>
  </si>
  <si>
    <t>frb59-26-5</t>
  </si>
  <si>
    <t>GKD-c_10_n500_m50</t>
  </si>
  <si>
    <t>GKD-c_11_n500_m50</t>
  </si>
  <si>
    <t>GKD-c_12_n500_m50</t>
  </si>
  <si>
    <t>GKD-c_13_n500_m50</t>
  </si>
  <si>
    <t>GKD-c_14_n500_m50</t>
  </si>
  <si>
    <t>GKD-c_15_n500_m50</t>
  </si>
  <si>
    <t>GKD-c_16_n500_m50</t>
  </si>
  <si>
    <t>GKD-c_17_n500_m50</t>
  </si>
  <si>
    <t>GKD-c_18_n500_m50</t>
  </si>
  <si>
    <t>GKD-c_19_n500_m50</t>
  </si>
  <si>
    <t>GKD-c_1_n500_m50</t>
  </si>
  <si>
    <t>GKD-c_20_n500_m50</t>
  </si>
  <si>
    <t>GKD-c_2_n500_m50</t>
  </si>
  <si>
    <t>GKD-c_3_n500_m50</t>
  </si>
  <si>
    <t>GKD-c_4_n500_m50</t>
  </si>
  <si>
    <t>GKD-c_5_n500_m50</t>
  </si>
  <si>
    <t>GKD-c_6_n500_m50</t>
  </si>
  <si>
    <t>GKD-c_7_n500_m50</t>
  </si>
  <si>
    <t>GKD-c_8_n500_m50</t>
  </si>
  <si>
    <t>GKD-c_9_n500_m50</t>
  </si>
  <si>
    <t>LA_n2000_m100</t>
  </si>
  <si>
    <t>LA_n2000_m200</t>
  </si>
  <si>
    <t>LA_n2000_m300</t>
  </si>
  <si>
    <t>LA_n2000_m400</t>
  </si>
  <si>
    <t>LA_n2000_m500</t>
  </si>
  <si>
    <t>LA_n3000_m100</t>
  </si>
  <si>
    <t>LA_n3000_m200</t>
  </si>
  <si>
    <t>LA_n3000_m300</t>
  </si>
  <si>
    <t>LA_n3000_m400</t>
  </si>
  <si>
    <t>LA_n3000_m500</t>
  </si>
  <si>
    <t>LA_n5000_m100</t>
  </si>
  <si>
    <t>LA_n5000_m200</t>
  </si>
  <si>
    <t>LA_n5000_m300</t>
  </si>
  <si>
    <t>LA_n5000_m400</t>
  </si>
  <si>
    <t>LA_n5000_m500</t>
  </si>
  <si>
    <t>LA_n6000_m100</t>
  </si>
  <si>
    <t>LA_n6000_m200</t>
  </si>
  <si>
    <t>LA_n6000_m300</t>
  </si>
  <si>
    <t>LA_n6000_m400</t>
  </si>
  <si>
    <t>LA_n6000_m500</t>
  </si>
  <si>
    <t>MDG-a_21_n2000_m200</t>
  </si>
  <si>
    <t>MDG-a_22_n2000_m200</t>
  </si>
  <si>
    <t>MDG-a_23_n2000_m200</t>
  </si>
  <si>
    <t>MDG-a_24_n2000_m200</t>
  </si>
  <si>
    <t>MDG-a_25_n2000_m200</t>
  </si>
  <si>
    <t>MDG-a_26_n2000_m200</t>
  </si>
  <si>
    <t>MDG-a_27_n2000_m200</t>
  </si>
  <si>
    <t>MDG-a_28_n2000_m200</t>
  </si>
  <si>
    <t>MDG-a_29_n2000_m200</t>
  </si>
  <si>
    <t>MDG-a_30_n2000_m200</t>
  </si>
  <si>
    <t>MDG-a_31_n2000_m200</t>
  </si>
  <si>
    <t>MDG-a_32_n2000_m200</t>
  </si>
  <si>
    <t>MDG-a_33_n2000_m200</t>
  </si>
  <si>
    <t>MDG-a_34_n2000_m200</t>
  </si>
  <si>
    <t>MDG-a_35_n2000_m200</t>
  </si>
  <si>
    <t>MDG-a_36_n2000_m200</t>
  </si>
  <si>
    <t>MDG-a_37_n2000_m200</t>
  </si>
  <si>
    <t>MDG-a_38_n2000_m200</t>
  </si>
  <si>
    <t>MDG-a_39_n2000_m200</t>
  </si>
  <si>
    <t>MDG-a_40_n2000_m200</t>
  </si>
  <si>
    <t>MDG-a_10_n500_m50</t>
  </si>
  <si>
    <t>MDG-a_11_n500_m50</t>
  </si>
  <si>
    <t>MDG-a_12_n500_m50</t>
  </si>
  <si>
    <t>MDG-a_13_n500_m50</t>
  </si>
  <si>
    <t>MDG-a_14_n500_m50</t>
  </si>
  <si>
    <t>MDG-a_15_n500_m50</t>
  </si>
  <si>
    <t>MDG-a_16_n500_m50</t>
  </si>
  <si>
    <t>MDG-a_17_n500_m50</t>
  </si>
  <si>
    <t>MDG-a_18_n500_m50</t>
  </si>
  <si>
    <t>MDG-a_19_n500_m50</t>
  </si>
  <si>
    <t>MDG-a_1_n500_m50</t>
  </si>
  <si>
    <t>MDG-a_20_n500_m50</t>
  </si>
  <si>
    <t>MDG-a_2_n500_m50</t>
  </si>
  <si>
    <t>MDG-a_3_n500_m50</t>
  </si>
  <si>
    <t>MDG-a_4_n500_m50</t>
  </si>
  <si>
    <t>MDG-a_5_n500_m50</t>
  </si>
  <si>
    <t>MDG-a_6_n500_m50</t>
  </si>
  <si>
    <t>MDG-a_7_n500_m50</t>
  </si>
  <si>
    <t>MDG-a_8_n500_m50</t>
  </si>
  <si>
    <t>MDG-a_9_n500_m50</t>
  </si>
  <si>
    <t>MDG-b_21_n2000_m200</t>
  </si>
  <si>
    <t>MDG-b_22_n2000_m200</t>
  </si>
  <si>
    <t>MDG-b_23_n2000_m200</t>
  </si>
  <si>
    <t>MDG-b_24_n2000_m200</t>
  </si>
  <si>
    <t>MDG-b_25_n2000_m200</t>
  </si>
  <si>
    <t>MDG-b_26_n2000_m200</t>
  </si>
  <si>
    <t>MDG-b_27_n2000_m200</t>
  </si>
  <si>
    <t>MDG-b_28_n2000_m200</t>
  </si>
  <si>
    <t>MDG-b_29_n2000_m200</t>
  </si>
  <si>
    <t>MDG-b_30_n2000_m200</t>
  </si>
  <si>
    <t>MDG-b_31_n2000_m200</t>
  </si>
  <si>
    <t>MDG-b_32_n2000_m200</t>
  </si>
  <si>
    <t>MDG-b_33_n2000_m200</t>
  </si>
  <si>
    <t>MDG-b_34_n2000_m200</t>
  </si>
  <si>
    <t>MDG-b_35_n2000_m200</t>
  </si>
  <si>
    <t>MDG-b_36_n2000_m200</t>
  </si>
  <si>
    <t>MDG-b_37_n2000_m200</t>
  </si>
  <si>
    <t>MDG-b_38_n2000_m200</t>
  </si>
  <si>
    <t>MDG-b_39_n2000_m200</t>
  </si>
  <si>
    <t>MDG-b_40_n2000_m200</t>
  </si>
  <si>
    <t>MDG-b_10_n500_m50</t>
  </si>
  <si>
    <t>MDG-b_11_n500_m50</t>
  </si>
  <si>
    <t>MDG-b_12_n500_m50</t>
  </si>
  <si>
    <t>MDG-b_13_n500_m50</t>
  </si>
  <si>
    <t>MDG-b_14_n500_m50</t>
  </si>
  <si>
    <t>MDG-b_15_n500_m50</t>
  </si>
  <si>
    <t>MDG-b_16_n500_m50</t>
  </si>
  <si>
    <t>MDG-b_17_n500_m50</t>
  </si>
  <si>
    <t>MDG-b_18_n500_m50</t>
  </si>
  <si>
    <t>MDG-b_19_n500_m50</t>
  </si>
  <si>
    <t>MDG-b_1_n500_m50</t>
  </si>
  <si>
    <t>MDG-b_20_n500_m50</t>
  </si>
  <si>
    <t>MDG-b_2_n500_m50</t>
  </si>
  <si>
    <t>MDG-b_3_n500_m50</t>
  </si>
  <si>
    <t>MDG-b_4_n500_m50</t>
  </si>
  <si>
    <t>MDG-b_5_n500_m50</t>
  </si>
  <si>
    <t>MDG-b_6_n500_m50</t>
  </si>
  <si>
    <t>MDG-b_7_n500_m50</t>
  </si>
  <si>
    <t>MDG-b_8_n500_m50</t>
  </si>
  <si>
    <t>MDG-b_9_n500_m50</t>
  </si>
  <si>
    <t>MDG-c_10_n3000_m400</t>
  </si>
  <si>
    <t>MDG-c_11_n3000_m500</t>
  </si>
  <si>
    <t>MDG-c_12_n3000_m500</t>
  </si>
  <si>
    <t>MDG-c_13_n3000_m500</t>
  </si>
  <si>
    <t>MDG-c_14_n3000_m500</t>
  </si>
  <si>
    <t>MDG-c_15_n3000_m500</t>
  </si>
  <si>
    <t>MDG-c_16_n3000_m600</t>
  </si>
  <si>
    <t>MDG-c_17_n3000_m600</t>
  </si>
  <si>
    <t>MDG-c_18_n3000_m600</t>
  </si>
  <si>
    <t>MDG-c_19_n3000_m600</t>
  </si>
  <si>
    <t>MDG-c_1_n3000_m300</t>
  </si>
  <si>
    <t>MDG-c_20_n3000_m600</t>
  </si>
  <si>
    <t>MDG-c_2_n3000_m300</t>
  </si>
  <si>
    <t>MDG-c_3_n3000_m300</t>
  </si>
  <si>
    <t>MDG-c_4_n3000_m300</t>
  </si>
  <si>
    <t>MDG-c_5_n3000_m300</t>
  </si>
  <si>
    <t>MDG-c_6_n3000_m400</t>
  </si>
  <si>
    <t>MDG-c_7_n3000_m400</t>
  </si>
  <si>
    <t>MDG-c_8_n3000_m400</t>
  </si>
  <si>
    <t>MDG-c_9_n3000_m400</t>
  </si>
  <si>
    <t>p3000_1</t>
  </si>
  <si>
    <t>p3000_2</t>
  </si>
  <si>
    <t>p3000_3</t>
  </si>
  <si>
    <t>p3000_4</t>
  </si>
  <si>
    <t>p3000_5</t>
  </si>
  <si>
    <t>p5000_1</t>
  </si>
  <si>
    <t>p5000_2</t>
  </si>
  <si>
    <t>p5000_3</t>
  </si>
  <si>
    <t>p5000_4</t>
  </si>
  <si>
    <t>p5000_5</t>
  </si>
  <si>
    <t>SOM-b_10_n300_m60</t>
  </si>
  <si>
    <t>SOM-b_11_n300_m90</t>
  </si>
  <si>
    <t>SOM-b_12_n300_m120</t>
  </si>
  <si>
    <t>SOM-b_13_n400_m40</t>
  </si>
  <si>
    <t>SOM-b_14_n400_m80</t>
  </si>
  <si>
    <t>SOM-b_15_n400_m120</t>
  </si>
  <si>
    <t>SOM-b_16_n400_m160</t>
  </si>
  <si>
    <t>SOM-b_17_n500_m50</t>
  </si>
  <si>
    <t>SOM-b_18_n500_m100</t>
  </si>
  <si>
    <t>SOM-b_19_n500_m150</t>
  </si>
  <si>
    <t>SOM-b_1_n100_m10</t>
  </si>
  <si>
    <t>SOM-b_20_n500_m200</t>
  </si>
  <si>
    <t>SOM-b_2_n100_m20</t>
  </si>
  <si>
    <t>SOM-b_3_n100_m30</t>
  </si>
  <si>
    <t>SOM-b_4_n100_m40</t>
  </si>
  <si>
    <t>SOM-b_5_n200_m20</t>
  </si>
  <si>
    <t>SOM-b_6_n200_m40</t>
  </si>
  <si>
    <t>SOM-b_7_n200_m60</t>
  </si>
  <si>
    <t>SOM-b_8_n200_m80</t>
  </si>
  <si>
    <t>SOM-b_9_n300_m30</t>
  </si>
  <si>
    <t>synthetic_10_n7000_m100</t>
  </si>
  <si>
    <t>synthetic_10_n7000_m200</t>
  </si>
  <si>
    <t>synthetic_10_n7000_m300</t>
  </si>
  <si>
    <t>synthetic_10_n7000_m400</t>
  </si>
  <si>
    <t>synthetic_10_n7000_m500</t>
  </si>
  <si>
    <t>synthetic_1_n7000_m100</t>
  </si>
  <si>
    <t>synthetic_1_n7000_m200</t>
  </si>
  <si>
    <t>synthetic_1_n7000_m300</t>
  </si>
  <si>
    <t>synthetic_1_n7000_m400</t>
  </si>
  <si>
    <t>synthetic_1_n7000_m500</t>
  </si>
  <si>
    <t>synthetic_2_n7000_m100</t>
  </si>
  <si>
    <t>synthetic_2_n7000_m200</t>
  </si>
  <si>
    <t>synthetic_2_n7000_m300</t>
  </si>
  <si>
    <t>synthetic_2_n7000_m400</t>
  </si>
  <si>
    <t>synthetic_2_n7000_m500</t>
  </si>
  <si>
    <t>synthetic_3_n7000_m100</t>
  </si>
  <si>
    <t>synthetic_3_n7000_m200</t>
  </si>
  <si>
    <t>synthetic_3_n7000_m300</t>
  </si>
  <si>
    <t>synthetic_3_n7000_m400</t>
  </si>
  <si>
    <t>synthetic_3_n7000_m500</t>
  </si>
  <si>
    <t>synthetic_4_n7000_m100</t>
  </si>
  <si>
    <t>synthetic_4_n7000_m200</t>
  </si>
  <si>
    <t>synthetic_4_n7000_m300</t>
  </si>
  <si>
    <t>synthetic_4_n7000_m400</t>
  </si>
  <si>
    <t>synthetic_4_n7000_m500</t>
  </si>
  <si>
    <t>synthetic_5_n7000_m100</t>
  </si>
  <si>
    <t>synthetic_5_n7000_m200</t>
  </si>
  <si>
    <t>synthetic_5_n7000_m300</t>
  </si>
  <si>
    <t>synthetic_5_n7000_m400</t>
  </si>
  <si>
    <t>synthetic_5_n7000_m500</t>
  </si>
  <si>
    <t>synthetic_6_n7000_m100</t>
  </si>
  <si>
    <t>synthetic_6_n7000_m200</t>
  </si>
  <si>
    <t>synthetic_6_n7000_m300</t>
  </si>
  <si>
    <t>synthetic_6_n7000_m400</t>
  </si>
  <si>
    <t>synthetic_6_n7000_m500</t>
  </si>
  <si>
    <t>synthetic_7_n7000_m100</t>
  </si>
  <si>
    <t>synthetic_7_n7000_m200</t>
  </si>
  <si>
    <t>synthetic_7_n7000_m300</t>
  </si>
  <si>
    <t>synthetic_7_n7000_m400</t>
  </si>
  <si>
    <t>synthetic_7_n7000_m500</t>
  </si>
  <si>
    <t>synthetic_8_n7000_m100</t>
  </si>
  <si>
    <t>synthetic_8_n7000_m200</t>
  </si>
  <si>
    <t>synthetic_8_n7000_m300</t>
  </si>
  <si>
    <t>synthetic_8_n7000_m400</t>
  </si>
  <si>
    <t>synthetic_8_n7000_m500</t>
  </si>
  <si>
    <t>synthetic_9_n7000_m100</t>
  </si>
  <si>
    <t>synthetic_9_n7000_m200</t>
  </si>
  <si>
    <t>synthetic_9_n7000_m300</t>
  </si>
  <si>
    <t>synthetic_9_n7000_m400</t>
  </si>
  <si>
    <t>synthetic_9_n7000_m500</t>
  </si>
  <si>
    <t>Bibsonomy_n9269_m100</t>
  </si>
  <si>
    <t>Bibsonomy_n9269_m200</t>
  </si>
  <si>
    <t>Bibsonomy_n9269_m300</t>
  </si>
  <si>
    <t>Bibsonomy_n9269_m400</t>
  </si>
  <si>
    <t>Bibsonomy_n9269_m500</t>
  </si>
  <si>
    <t>DBLP_n7159_m100</t>
  </si>
  <si>
    <t>DBLP_n7159_m200</t>
  </si>
  <si>
    <t>DBLP_n7159_m300</t>
  </si>
  <si>
    <t>DBLP_n7159_m400</t>
  </si>
  <si>
    <t>DBLP_n7159_m500</t>
  </si>
  <si>
    <t>IMDB_n1021_m100</t>
  </si>
  <si>
    <t>IMDB_n1021_m200</t>
  </si>
  <si>
    <t>IMDB_n1021_m300</t>
  </si>
  <si>
    <t>IMDB_n1021_m400</t>
  </si>
  <si>
    <t>IMDB_n1021_m500</t>
  </si>
  <si>
    <t>StackOverflow_n8834_m100</t>
  </si>
  <si>
    <t>StackOverflow_n8834_m200</t>
  </si>
  <si>
    <t>StackOverflow_n8834_m300</t>
  </si>
  <si>
    <t>StackOverflow_n8834_m400</t>
  </si>
  <si>
    <t>StackOverflow_n8834_m500</t>
  </si>
  <si>
    <t>New alg. (1 core)</t>
  </si>
  <si>
    <t>New alg. (16 cores)</t>
  </si>
  <si>
    <t>GPU-TS-f3</t>
  </si>
  <si>
    <t xml:space="preserve">best found obj </t>
  </si>
  <si>
    <t xml:space="preserve">#Succ </t>
  </si>
  <si>
    <t xml:space="preserve">Avg. TTS </t>
  </si>
  <si>
    <t xml:space="preserve">Avg. obj </t>
  </si>
  <si>
    <t>b2500-1</t>
  </si>
  <si>
    <t>b2500-10</t>
  </si>
  <si>
    <t>b2500-2</t>
  </si>
  <si>
    <t>b2500-3</t>
  </si>
  <si>
    <t>b2500-4</t>
  </si>
  <si>
    <t>b2500-5</t>
  </si>
  <si>
    <t>b2500-6</t>
  </si>
  <si>
    <t>b2500-7</t>
  </si>
  <si>
    <t>b2500-8</t>
  </si>
  <si>
    <t>b2500-9</t>
  </si>
  <si>
    <t>Summary (MCP/BHOSLIB)</t>
  </si>
  <si>
    <t>Summary (MCP/DIMACS)</t>
  </si>
  <si>
    <t>ca-CondMat_n23133_m26</t>
  </si>
  <si>
    <t>ca-GrQc_n5241_m44</t>
  </si>
  <si>
    <t>ca-HepPh_n12006_m239</t>
  </si>
  <si>
    <t>ca-HepTh_n9875_m32</t>
  </si>
  <si>
    <t>2000-6000</t>
  </si>
  <si>
    <t>3000-5000</t>
  </si>
  <si>
    <t>100-500</t>
  </si>
  <si>
    <t xml:space="preserve"> </t>
  </si>
  <si>
    <t>GBP</t>
  </si>
  <si>
    <t>MCP/set_1</t>
  </si>
  <si>
    <t>MCP/DIMACS</t>
  </si>
  <si>
    <t>MCP/BHOSLIB</t>
  </si>
  <si>
    <t>MDP/b2500</t>
  </si>
  <si>
    <t>Summary (MDP/b2500)</t>
  </si>
  <si>
    <t>MDP/GKD-c</t>
  </si>
  <si>
    <t>Summary (MDP/GKD-c)</t>
  </si>
  <si>
    <t>MDP/LA</t>
  </si>
  <si>
    <t>Summary (MDP/LA)</t>
  </si>
  <si>
    <t>MDP/MDG-a_n2000</t>
  </si>
  <si>
    <t>Summary (MDP/MDG-a_n2000)</t>
  </si>
  <si>
    <t>MDP/MDG-a_n500</t>
  </si>
  <si>
    <t>Summary (MDP/MDG-a_n500)</t>
  </si>
  <si>
    <t>MDP/MDG-b_n2000</t>
  </si>
  <si>
    <t>Summary (MDP/MDG-b_n2000)</t>
  </si>
  <si>
    <t>MDP/MDG-b_n500</t>
  </si>
  <si>
    <t>Summary (MDP/MDG-b_n500)</t>
  </si>
  <si>
    <t>MDP/MDG-c</t>
  </si>
  <si>
    <t>Summary (MDP/MDG-c)</t>
  </si>
  <si>
    <t>MDP/p3000-5000</t>
  </si>
  <si>
    <t>Summary (MDP/p3000-5000)</t>
  </si>
  <si>
    <t>MDP/SOM-b</t>
  </si>
  <si>
    <t>Summary (MDP/SOM-b)</t>
  </si>
  <si>
    <t>MDP/SyntheticTF</t>
  </si>
  <si>
    <t>Summary (MDP/SyntheticTF)</t>
  </si>
  <si>
    <t>MDP/Team_formation</t>
  </si>
  <si>
    <t>Summary (MDP/Team_formation/Bibsonomy)</t>
  </si>
  <si>
    <t>Summary (MDP/Team_formation/DBLP)</t>
  </si>
  <si>
    <t>Summary (MDP/Team_formation/IMDB)</t>
  </si>
  <si>
    <t>Summary (MDP/Team_formation/StackOverflow)</t>
  </si>
  <si>
    <t>best-known/reference obj</t>
  </si>
  <si>
    <t>frb56-25-1</t>
  </si>
  <si>
    <t>frb56-25-2</t>
  </si>
  <si>
    <t>frb56-25-3</t>
  </si>
  <si>
    <t>frb56-25-4</t>
  </si>
  <si>
    <t>frb56-25-5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</si>
</sst>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0"/>
    <numFmt numFmtId="166" formatCode="0.0"/>
    <numFmt numFmtId="167" formatCode="0.00000"/>
    <numFmt numFmtId="168" formatCode="0.0000000"/>
    <numFmt numFmtId="169" formatCode="0.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36" borderId="0" xfId="0" applyFill="1"/>
    <xf numFmtId="10" fontId="0" fillId="36" borderId="0" xfId="0" applyNumberFormat="1" applyFill="1"/>
    <xf numFmtId="164" fontId="0" fillId="36" borderId="0" xfId="0" applyNumberFormat="1" applyFill="1"/>
    <xf numFmtId="1" fontId="0" fillId="36" borderId="0" xfId="0" applyNumberFormat="1" applyFill="1"/>
    <xf numFmtId="168" fontId="0" fillId="36" borderId="0" xfId="0" applyNumberFormat="1" applyFill="1"/>
    <xf numFmtId="169" fontId="0" fillId="36" borderId="0" xfId="0" applyNumberFormat="1" applyFill="1"/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7710-2E45-40BB-B8A9-C89E7996F865}">
  <dimension ref="A1:R363"/>
  <sheetViews>
    <sheetView tabSelected="1" topLeftCell="B1" workbookViewId="0">
      <pane ySplit="1" topLeftCell="A347" activePane="bottomLeft" state="frozen"/>
      <selection activeCell="B1" sqref="B1"/>
      <selection pane="bottomLeft" activeCell="H355" sqref="H355"/>
    </sheetView>
  </sheetViews>
  <sheetFormatPr defaultRowHeight="14.4" x14ac:dyDescent="0.3"/>
  <cols>
    <col min="1" max="1" width="25.6640625" customWidth="1"/>
    <col min="2" max="2" width="23.6640625" customWidth="1"/>
    <col min="6" max="6" width="24.33203125" customWidth="1"/>
    <col min="7" max="7" width="13.6640625" customWidth="1"/>
    <col min="8" max="8" width="12" bestFit="1" customWidth="1"/>
    <col min="11" max="11" width="13" customWidth="1"/>
    <col min="12" max="12" width="12.44140625" customWidth="1"/>
    <col min="13" max="13" width="10.44140625" customWidth="1"/>
    <col min="14" max="14" width="8" customWidth="1"/>
    <col min="15" max="15" width="14" customWidth="1"/>
    <col min="16" max="16" width="12.77734375" customWidth="1"/>
    <col min="17" max="17" width="11.88671875" customWidth="1"/>
    <col min="19" max="19" width="18.33203125" customWidth="1"/>
  </cols>
  <sheetData>
    <row r="1" spans="1:18" x14ac:dyDescent="0.3">
      <c r="G1" s="14" t="s">
        <v>333</v>
      </c>
      <c r="H1" s="14"/>
      <c r="I1" s="14"/>
      <c r="J1" s="14"/>
      <c r="K1" s="15" t="s">
        <v>334</v>
      </c>
      <c r="L1" s="15"/>
      <c r="M1" s="15"/>
      <c r="N1" s="15"/>
      <c r="O1" s="16" t="s">
        <v>335</v>
      </c>
      <c r="P1" s="16"/>
      <c r="Q1" s="16"/>
      <c r="R1" s="16"/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391</v>
      </c>
      <c r="G2" t="s">
        <v>5</v>
      </c>
      <c r="H2" t="s">
        <v>6</v>
      </c>
      <c r="I2" t="s">
        <v>7</v>
      </c>
      <c r="J2" t="s">
        <v>8</v>
      </c>
      <c r="K2" t="s">
        <v>336</v>
      </c>
      <c r="L2" t="s">
        <v>6</v>
      </c>
      <c r="M2" t="s">
        <v>7</v>
      </c>
      <c r="N2" t="s">
        <v>337</v>
      </c>
      <c r="O2" t="s">
        <v>336</v>
      </c>
      <c r="P2" t="s">
        <v>339</v>
      </c>
      <c r="Q2" t="s">
        <v>338</v>
      </c>
      <c r="R2" t="s">
        <v>8</v>
      </c>
    </row>
    <row r="3" spans="1:18" x14ac:dyDescent="0.3">
      <c r="A3" t="s">
        <v>360</v>
      </c>
      <c r="B3" t="s">
        <v>10</v>
      </c>
      <c r="C3">
        <v>15606</v>
      </c>
      <c r="D3">
        <v>7803</v>
      </c>
      <c r="E3" s="1">
        <v>4.4083000000000002E-4</v>
      </c>
      <c r="F3">
        <v>139</v>
      </c>
      <c r="G3">
        <v>139</v>
      </c>
      <c r="H3">
        <v>235.2</v>
      </c>
      <c r="I3" s="5">
        <v>9.0876260000000002</v>
      </c>
      <c r="J3">
        <v>1</v>
      </c>
      <c r="K3">
        <v>139</v>
      </c>
      <c r="L3">
        <v>139</v>
      </c>
      <c r="M3" s="5">
        <v>5.5122229999999997</v>
      </c>
      <c r="N3">
        <v>5</v>
      </c>
    </row>
    <row r="4" spans="1:18" x14ac:dyDescent="0.3">
      <c r="A4" t="s">
        <v>360</v>
      </c>
      <c r="B4" t="s">
        <v>11</v>
      </c>
      <c r="C4">
        <v>13992</v>
      </c>
      <c r="D4">
        <v>6996</v>
      </c>
      <c r="E4" s="1">
        <v>3.1642699999999998E-3</v>
      </c>
      <c r="F4">
        <v>2843</v>
      </c>
      <c r="G4">
        <v>2843</v>
      </c>
      <c r="H4">
        <v>2843</v>
      </c>
      <c r="I4" s="5">
        <v>13.678626</v>
      </c>
      <c r="J4">
        <v>5</v>
      </c>
      <c r="K4">
        <v>2843</v>
      </c>
      <c r="L4">
        <v>2843</v>
      </c>
      <c r="M4" s="5">
        <v>0.99629800000000002</v>
      </c>
      <c r="N4">
        <v>5</v>
      </c>
    </row>
    <row r="5" spans="1:18" x14ac:dyDescent="0.3">
      <c r="A5" t="s">
        <v>360</v>
      </c>
      <c r="B5" t="s">
        <v>12</v>
      </c>
      <c r="C5">
        <v>28924</v>
      </c>
      <c r="D5">
        <v>14462</v>
      </c>
      <c r="E5" s="1">
        <v>2.4426199999999999E-3</v>
      </c>
      <c r="F5">
        <v>6394</v>
      </c>
      <c r="G5">
        <v>6396</v>
      </c>
      <c r="H5">
        <v>6407</v>
      </c>
      <c r="I5" t="s">
        <v>9</v>
      </c>
      <c r="J5">
        <v>0</v>
      </c>
      <c r="K5">
        <v>6394</v>
      </c>
      <c r="L5">
        <v>6401.8</v>
      </c>
      <c r="M5" s="5">
        <v>5.7937979999999998</v>
      </c>
      <c r="N5">
        <v>2</v>
      </c>
    </row>
    <row r="6" spans="1:18" x14ac:dyDescent="0.3">
      <c r="A6" t="s">
        <v>360</v>
      </c>
      <c r="B6" t="s">
        <v>13</v>
      </c>
      <c r="C6">
        <v>10240</v>
      </c>
      <c r="D6">
        <v>5120</v>
      </c>
      <c r="E6" s="1">
        <v>6.7710999999999997E-4</v>
      </c>
      <c r="F6">
        <v>184</v>
      </c>
      <c r="G6">
        <v>184</v>
      </c>
      <c r="H6">
        <v>274.60000000000002</v>
      </c>
      <c r="I6" s="5">
        <v>20.635750000000002</v>
      </c>
      <c r="J6">
        <v>1</v>
      </c>
      <c r="K6">
        <v>184</v>
      </c>
      <c r="L6">
        <v>207.2</v>
      </c>
      <c r="M6" s="5">
        <v>7.4049589999999998</v>
      </c>
      <c r="N6">
        <v>4</v>
      </c>
    </row>
    <row r="7" spans="1:18" x14ac:dyDescent="0.3">
      <c r="A7" t="s">
        <v>360</v>
      </c>
      <c r="B7" t="s">
        <v>14</v>
      </c>
      <c r="C7">
        <v>16840</v>
      </c>
      <c r="D7">
        <v>8420</v>
      </c>
      <c r="E7" s="1">
        <v>3.9953999999999999E-4</v>
      </c>
      <c r="F7">
        <v>334</v>
      </c>
      <c r="G7">
        <v>334</v>
      </c>
      <c r="H7">
        <v>405.6</v>
      </c>
      <c r="I7" s="5">
        <v>41.834549000000003</v>
      </c>
      <c r="J7">
        <v>1</v>
      </c>
      <c r="K7">
        <v>334</v>
      </c>
      <c r="L7">
        <v>334</v>
      </c>
      <c r="M7" s="5">
        <v>3.8039559999999999</v>
      </c>
      <c r="N7">
        <v>5</v>
      </c>
    </row>
    <row r="8" spans="1:18" x14ac:dyDescent="0.3">
      <c r="A8" t="s">
        <v>360</v>
      </c>
      <c r="B8" t="s">
        <v>15</v>
      </c>
      <c r="C8">
        <v>11143</v>
      </c>
      <c r="D8">
        <v>5571</v>
      </c>
      <c r="E8" s="1">
        <v>6.1835999999999998E-4</v>
      </c>
      <c r="F8">
        <v>130</v>
      </c>
      <c r="G8">
        <v>148</v>
      </c>
      <c r="H8">
        <v>260.60000000000002</v>
      </c>
      <c r="I8" t="s">
        <v>9</v>
      </c>
      <c r="J8">
        <v>0</v>
      </c>
      <c r="K8">
        <v>130</v>
      </c>
      <c r="L8">
        <v>153.80000000000001</v>
      </c>
      <c r="M8" s="5">
        <v>11.322127</v>
      </c>
      <c r="N8">
        <v>4</v>
      </c>
    </row>
    <row r="9" spans="1:18" x14ac:dyDescent="0.3">
      <c r="A9" t="s">
        <v>360</v>
      </c>
      <c r="B9" t="s">
        <v>16</v>
      </c>
      <c r="C9">
        <v>16386</v>
      </c>
      <c r="D9">
        <v>8193</v>
      </c>
      <c r="E9" s="1">
        <v>4.2715E-4</v>
      </c>
      <c r="F9">
        <v>386</v>
      </c>
      <c r="G9">
        <v>450</v>
      </c>
      <c r="H9">
        <v>483.6</v>
      </c>
      <c r="I9" t="s">
        <v>9</v>
      </c>
      <c r="J9">
        <v>0</v>
      </c>
      <c r="K9">
        <v>386</v>
      </c>
      <c r="L9">
        <v>462</v>
      </c>
      <c r="M9" s="5">
        <v>35.303531</v>
      </c>
      <c r="N9">
        <v>1</v>
      </c>
    </row>
    <row r="10" spans="1:18" x14ac:dyDescent="0.3">
      <c r="E10" s="1"/>
      <c r="K10" t="s">
        <v>359</v>
      </c>
    </row>
    <row r="11" spans="1:18" x14ac:dyDescent="0.3">
      <c r="A11" t="s">
        <v>361</v>
      </c>
      <c r="B11" t="s">
        <v>17</v>
      </c>
      <c r="C11">
        <v>18772</v>
      </c>
      <c r="D11">
        <v>57</v>
      </c>
      <c r="E11" s="1">
        <v>1.1240499999999999E-3</v>
      </c>
      <c r="F11">
        <v>3192</v>
      </c>
      <c r="G11">
        <v>3192</v>
      </c>
      <c r="H11">
        <v>3192</v>
      </c>
      <c r="I11" s="3">
        <v>10.345364999999999</v>
      </c>
      <c r="J11">
        <v>5</v>
      </c>
      <c r="K11">
        <v>3192</v>
      </c>
      <c r="L11">
        <v>3192</v>
      </c>
      <c r="M11" s="3">
        <v>2.2037399999999998</v>
      </c>
      <c r="N11">
        <v>5</v>
      </c>
      <c r="O11" s="5">
        <v>3192</v>
      </c>
      <c r="P11" s="4">
        <v>3168.8</v>
      </c>
      <c r="Q11" s="3">
        <v>23.60590784</v>
      </c>
      <c r="R11">
        <v>3</v>
      </c>
    </row>
    <row r="12" spans="1:18" x14ac:dyDescent="0.3">
      <c r="A12" t="s">
        <v>361</v>
      </c>
      <c r="B12" t="s">
        <v>352</v>
      </c>
      <c r="C12">
        <v>23133</v>
      </c>
      <c r="D12">
        <v>26</v>
      </c>
      <c r="E12" s="1">
        <v>3.4922000000000002E-4</v>
      </c>
      <c r="F12">
        <v>650</v>
      </c>
      <c r="G12">
        <v>650</v>
      </c>
      <c r="H12">
        <v>650</v>
      </c>
      <c r="I12" s="3">
        <v>15.831973</v>
      </c>
      <c r="J12">
        <v>5</v>
      </c>
      <c r="K12">
        <v>650</v>
      </c>
      <c r="L12">
        <v>650</v>
      </c>
      <c r="M12" s="3">
        <v>2.3492000000000002</v>
      </c>
      <c r="N12">
        <v>5</v>
      </c>
      <c r="O12" s="5">
        <v>650</v>
      </c>
      <c r="P12" s="4">
        <v>650</v>
      </c>
      <c r="Q12" s="3">
        <v>17.846693770000002</v>
      </c>
      <c r="R12">
        <v>5</v>
      </c>
    </row>
    <row r="13" spans="1:18" x14ac:dyDescent="0.3">
      <c r="A13" t="s">
        <v>361</v>
      </c>
      <c r="B13" t="s">
        <v>353</v>
      </c>
      <c r="C13">
        <v>5241</v>
      </c>
      <c r="D13">
        <v>44</v>
      </c>
      <c r="E13" s="1">
        <v>1.0546100000000001E-3</v>
      </c>
      <c r="F13">
        <v>1892</v>
      </c>
      <c r="G13">
        <v>1892</v>
      </c>
      <c r="H13">
        <v>1892</v>
      </c>
      <c r="I13" s="3">
        <v>2.7399999999999999E-4</v>
      </c>
      <c r="J13">
        <v>5</v>
      </c>
      <c r="K13">
        <v>1892</v>
      </c>
      <c r="L13">
        <v>1892</v>
      </c>
      <c r="M13" s="3">
        <v>6.3400000000000001E-4</v>
      </c>
      <c r="N13">
        <v>5</v>
      </c>
      <c r="O13" s="5">
        <v>1892</v>
      </c>
      <c r="P13" s="4">
        <v>1892</v>
      </c>
      <c r="Q13" s="3">
        <v>3.3928325999999999E-3</v>
      </c>
      <c r="R13">
        <v>5</v>
      </c>
    </row>
    <row r="14" spans="1:18" x14ac:dyDescent="0.3">
      <c r="A14" t="s">
        <v>361</v>
      </c>
      <c r="B14" t="s">
        <v>354</v>
      </c>
      <c r="C14">
        <v>12006</v>
      </c>
      <c r="D14">
        <v>239</v>
      </c>
      <c r="E14" s="1">
        <v>1.64404E-3</v>
      </c>
      <c r="F14">
        <v>56882</v>
      </c>
      <c r="G14">
        <v>56882</v>
      </c>
      <c r="H14">
        <v>56882</v>
      </c>
      <c r="I14" s="3">
        <v>3.3279999999999998E-3</v>
      </c>
      <c r="J14">
        <v>5</v>
      </c>
      <c r="K14">
        <v>56882</v>
      </c>
      <c r="L14">
        <v>56882</v>
      </c>
      <c r="M14" s="3">
        <v>4.3959999999999997E-3</v>
      </c>
      <c r="N14">
        <v>5</v>
      </c>
      <c r="O14" s="5">
        <v>56882</v>
      </c>
      <c r="P14" s="4">
        <v>56882</v>
      </c>
      <c r="Q14" s="3">
        <v>1.6122073000000001E-2</v>
      </c>
      <c r="R14">
        <v>5</v>
      </c>
    </row>
    <row r="15" spans="1:18" x14ac:dyDescent="0.3">
      <c r="A15" t="s">
        <v>361</v>
      </c>
      <c r="B15" t="s">
        <v>355</v>
      </c>
      <c r="C15">
        <v>9875</v>
      </c>
      <c r="D15">
        <v>32</v>
      </c>
      <c r="E15" s="1">
        <v>5.3269000000000005E-4</v>
      </c>
      <c r="F15">
        <v>992</v>
      </c>
      <c r="G15">
        <v>992</v>
      </c>
      <c r="H15">
        <v>992</v>
      </c>
      <c r="I15" s="3">
        <v>3.6828650000000001</v>
      </c>
      <c r="J15">
        <v>5</v>
      </c>
      <c r="K15">
        <v>992</v>
      </c>
      <c r="L15">
        <v>992</v>
      </c>
      <c r="M15" s="3">
        <v>0.61451299999999998</v>
      </c>
      <c r="N15">
        <v>5</v>
      </c>
      <c r="O15" s="5">
        <v>992</v>
      </c>
      <c r="P15" s="4">
        <v>866</v>
      </c>
      <c r="Q15" s="3">
        <v>37.019427200000003</v>
      </c>
      <c r="R15">
        <v>4</v>
      </c>
    </row>
    <row r="16" spans="1:18" x14ac:dyDescent="0.3">
      <c r="A16" t="s">
        <v>361</v>
      </c>
      <c r="B16" t="s">
        <v>18</v>
      </c>
      <c r="C16">
        <v>1133</v>
      </c>
      <c r="D16">
        <v>12</v>
      </c>
      <c r="E16" s="1">
        <v>8.4927100000000005E-3</v>
      </c>
      <c r="F16">
        <v>132</v>
      </c>
      <c r="G16">
        <v>132</v>
      </c>
      <c r="H16">
        <v>132</v>
      </c>
      <c r="I16" s="3">
        <v>8.2109999999999995E-3</v>
      </c>
      <c r="J16">
        <v>5</v>
      </c>
      <c r="K16">
        <v>132</v>
      </c>
      <c r="L16">
        <v>132</v>
      </c>
      <c r="M16" s="3">
        <v>1.915E-3</v>
      </c>
      <c r="N16">
        <v>5</v>
      </c>
      <c r="O16" s="5">
        <v>132</v>
      </c>
      <c r="P16" s="4">
        <v>132</v>
      </c>
      <c r="Q16" s="3">
        <v>8.7295281200000005E-2</v>
      </c>
      <c r="R16">
        <v>5</v>
      </c>
    </row>
    <row r="17" spans="1:18" x14ac:dyDescent="0.3">
      <c r="A17" t="s">
        <v>361</v>
      </c>
      <c r="B17" t="s">
        <v>19</v>
      </c>
      <c r="C17">
        <v>198</v>
      </c>
      <c r="D17">
        <v>30</v>
      </c>
      <c r="E17" s="1">
        <v>0.13988369</v>
      </c>
      <c r="F17">
        <v>870</v>
      </c>
      <c r="G17">
        <v>870</v>
      </c>
      <c r="H17">
        <v>870</v>
      </c>
      <c r="I17" s="3">
        <v>2.32E-4</v>
      </c>
      <c r="J17">
        <v>5</v>
      </c>
      <c r="K17">
        <v>870</v>
      </c>
      <c r="L17">
        <v>870</v>
      </c>
      <c r="M17" s="3">
        <v>4.7199999999999998E-4</v>
      </c>
      <c r="N17">
        <v>5</v>
      </c>
      <c r="O17" s="5">
        <v>870</v>
      </c>
      <c r="P17" s="4">
        <v>870</v>
      </c>
      <c r="Q17" s="3">
        <v>1.9133944E-3</v>
      </c>
      <c r="R17">
        <v>5</v>
      </c>
    </row>
    <row r="18" spans="1:18" x14ac:dyDescent="0.3">
      <c r="E18" s="1"/>
      <c r="O18" s="2"/>
      <c r="P18" s="2"/>
    </row>
    <row r="19" spans="1:18" x14ac:dyDescent="0.3">
      <c r="A19" t="s">
        <v>362</v>
      </c>
      <c r="B19" t="s">
        <v>20</v>
      </c>
      <c r="C19">
        <v>200</v>
      </c>
      <c r="D19">
        <v>12</v>
      </c>
      <c r="E19" s="1">
        <v>0.49380000000000002</v>
      </c>
      <c r="F19">
        <v>132</v>
      </c>
      <c r="G19">
        <v>132</v>
      </c>
      <c r="H19">
        <v>132</v>
      </c>
      <c r="I19">
        <v>12.410348000000001</v>
      </c>
      <c r="J19">
        <v>5</v>
      </c>
      <c r="K19">
        <v>132</v>
      </c>
      <c r="L19">
        <v>132</v>
      </c>
      <c r="M19">
        <v>1.511234</v>
      </c>
      <c r="N19">
        <v>5</v>
      </c>
      <c r="O19" s="5">
        <v>132</v>
      </c>
      <c r="P19" s="4">
        <v>131.6</v>
      </c>
      <c r="Q19">
        <v>31.408993670000001</v>
      </c>
      <c r="R19">
        <v>4</v>
      </c>
    </row>
    <row r="20" spans="1:18" x14ac:dyDescent="0.3">
      <c r="A20" t="s">
        <v>362</v>
      </c>
      <c r="B20" t="s">
        <v>21</v>
      </c>
      <c r="C20">
        <v>200</v>
      </c>
      <c r="D20">
        <v>17</v>
      </c>
      <c r="E20" s="1">
        <v>0.65444999999999998</v>
      </c>
      <c r="F20">
        <v>272</v>
      </c>
      <c r="G20">
        <v>272</v>
      </c>
      <c r="H20">
        <v>271.60000000000002</v>
      </c>
      <c r="I20">
        <v>11.474830000000001</v>
      </c>
      <c r="J20">
        <v>4</v>
      </c>
      <c r="K20">
        <v>272</v>
      </c>
      <c r="L20">
        <v>272</v>
      </c>
      <c r="M20">
        <v>3.3120069999999999</v>
      </c>
      <c r="N20">
        <v>5</v>
      </c>
      <c r="O20" s="5">
        <v>272</v>
      </c>
      <c r="P20" s="4">
        <v>270.39999999999998</v>
      </c>
      <c r="Q20">
        <v>22.783427920000001</v>
      </c>
      <c r="R20">
        <v>1</v>
      </c>
    </row>
    <row r="21" spans="1:18" x14ac:dyDescent="0.3">
      <c r="A21" t="s">
        <v>362</v>
      </c>
      <c r="B21" t="s">
        <v>22</v>
      </c>
      <c r="C21">
        <v>400</v>
      </c>
      <c r="D21">
        <v>29</v>
      </c>
      <c r="E21" s="1">
        <v>0.74732500000000002</v>
      </c>
      <c r="F21">
        <v>812</v>
      </c>
      <c r="G21">
        <v>800</v>
      </c>
      <c r="H21">
        <v>800</v>
      </c>
      <c r="I21" t="s">
        <v>9</v>
      </c>
      <c r="J21">
        <v>0</v>
      </c>
      <c r="K21">
        <v>800</v>
      </c>
      <c r="L21">
        <v>800</v>
      </c>
      <c r="M21" t="s">
        <v>9</v>
      </c>
      <c r="N21">
        <v>0</v>
      </c>
      <c r="O21" s="5">
        <v>800</v>
      </c>
      <c r="P21" s="4">
        <v>800</v>
      </c>
      <c r="Q21" t="s">
        <v>9</v>
      </c>
      <c r="R21">
        <v>0</v>
      </c>
    </row>
    <row r="22" spans="1:18" x14ac:dyDescent="0.3">
      <c r="A22" t="s">
        <v>362</v>
      </c>
      <c r="B22" t="s">
        <v>23</v>
      </c>
      <c r="C22">
        <v>400</v>
      </c>
      <c r="D22">
        <v>33</v>
      </c>
      <c r="E22" s="1">
        <v>0.74706249999999996</v>
      </c>
      <c r="F22">
        <v>1056</v>
      </c>
      <c r="G22">
        <v>1026</v>
      </c>
      <c r="H22">
        <v>1026</v>
      </c>
      <c r="I22" t="s">
        <v>9</v>
      </c>
      <c r="J22">
        <v>0</v>
      </c>
      <c r="K22">
        <v>1026</v>
      </c>
      <c r="L22">
        <v>1026</v>
      </c>
      <c r="M22" t="s">
        <v>9</v>
      </c>
      <c r="N22">
        <v>0</v>
      </c>
      <c r="O22" s="5">
        <v>1026</v>
      </c>
      <c r="P22" s="4">
        <v>1026</v>
      </c>
      <c r="Q22" t="s">
        <v>9</v>
      </c>
      <c r="R22">
        <v>0</v>
      </c>
    </row>
    <row r="23" spans="1:18" x14ac:dyDescent="0.3">
      <c r="A23" t="s">
        <v>362</v>
      </c>
      <c r="B23" t="s">
        <v>24</v>
      </c>
      <c r="C23">
        <v>800</v>
      </c>
      <c r="D23">
        <v>24</v>
      </c>
      <c r="E23" s="1">
        <v>0.65051875000000003</v>
      </c>
      <c r="F23">
        <v>552</v>
      </c>
      <c r="G23">
        <v>544</v>
      </c>
      <c r="H23">
        <v>544</v>
      </c>
      <c r="I23" t="s">
        <v>9</v>
      </c>
      <c r="J23">
        <v>0</v>
      </c>
      <c r="K23">
        <v>544</v>
      </c>
      <c r="L23">
        <v>544</v>
      </c>
      <c r="M23" t="s">
        <v>9</v>
      </c>
      <c r="N23">
        <v>0</v>
      </c>
      <c r="O23" s="5">
        <v>544</v>
      </c>
      <c r="P23" s="4">
        <v>544</v>
      </c>
      <c r="Q23" t="s">
        <v>9</v>
      </c>
      <c r="R23">
        <v>0</v>
      </c>
    </row>
    <row r="24" spans="1:18" x14ac:dyDescent="0.3">
      <c r="A24" t="s">
        <v>362</v>
      </c>
      <c r="B24" t="s">
        <v>25</v>
      </c>
      <c r="C24">
        <v>800</v>
      </c>
      <c r="D24">
        <v>26</v>
      </c>
      <c r="E24" s="1">
        <v>0.64888436999999999</v>
      </c>
      <c r="F24">
        <v>650</v>
      </c>
      <c r="G24">
        <v>634</v>
      </c>
      <c r="H24">
        <v>634</v>
      </c>
      <c r="I24" t="s">
        <v>9</v>
      </c>
      <c r="J24">
        <v>0</v>
      </c>
      <c r="K24">
        <v>634</v>
      </c>
      <c r="L24">
        <v>634</v>
      </c>
      <c r="M24" t="s">
        <v>9</v>
      </c>
      <c r="N24">
        <v>0</v>
      </c>
      <c r="O24" s="5">
        <v>634</v>
      </c>
      <c r="P24" s="4">
        <v>633.6</v>
      </c>
      <c r="Q24" t="s">
        <v>9</v>
      </c>
      <c r="R24">
        <v>0</v>
      </c>
    </row>
    <row r="25" spans="1:18" x14ac:dyDescent="0.3">
      <c r="A25" t="s">
        <v>362</v>
      </c>
      <c r="B25" t="s">
        <v>26</v>
      </c>
      <c r="C25">
        <v>1000</v>
      </c>
      <c r="D25">
        <v>68</v>
      </c>
      <c r="E25" s="1">
        <v>0.90015800000000001</v>
      </c>
      <c r="F25">
        <v>4556</v>
      </c>
      <c r="G25">
        <v>4556</v>
      </c>
      <c r="H25">
        <v>4556</v>
      </c>
      <c r="I25">
        <v>5.4880870000000002</v>
      </c>
      <c r="J25">
        <v>5</v>
      </c>
      <c r="K25">
        <v>4556</v>
      </c>
      <c r="L25">
        <v>4556</v>
      </c>
      <c r="M25">
        <v>0.70578300000000005</v>
      </c>
      <c r="N25">
        <v>5</v>
      </c>
      <c r="O25" s="5">
        <v>4554</v>
      </c>
      <c r="P25" s="4">
        <v>4554</v>
      </c>
      <c r="Q25" t="s">
        <v>9</v>
      </c>
      <c r="R25">
        <v>0</v>
      </c>
    </row>
    <row r="26" spans="1:18" x14ac:dyDescent="0.3">
      <c r="A26" t="s">
        <v>362</v>
      </c>
      <c r="B26" t="s">
        <v>27</v>
      </c>
      <c r="C26">
        <v>125</v>
      </c>
      <c r="D26">
        <v>34</v>
      </c>
      <c r="E26" s="1">
        <v>0.89126399999999995</v>
      </c>
      <c r="F26">
        <v>1122</v>
      </c>
      <c r="G26">
        <v>1122</v>
      </c>
      <c r="H26">
        <v>1122</v>
      </c>
      <c r="I26">
        <v>2.4000000000000001E-4</v>
      </c>
      <c r="J26">
        <v>5</v>
      </c>
      <c r="K26">
        <v>1122</v>
      </c>
      <c r="L26">
        <v>1122</v>
      </c>
      <c r="M26">
        <v>3.2600000000000001E-4</v>
      </c>
      <c r="N26">
        <v>5</v>
      </c>
      <c r="O26" s="5">
        <v>1122</v>
      </c>
      <c r="P26" s="4">
        <v>1122</v>
      </c>
      <c r="Q26">
        <v>3.9545761999999996E-3</v>
      </c>
      <c r="R26">
        <v>5</v>
      </c>
    </row>
    <row r="27" spans="1:18" x14ac:dyDescent="0.3">
      <c r="A27" t="s">
        <v>362</v>
      </c>
      <c r="B27" t="s">
        <v>28</v>
      </c>
      <c r="C27">
        <v>2000</v>
      </c>
      <c r="D27">
        <v>16</v>
      </c>
      <c r="E27" s="1">
        <v>0.49991799999999997</v>
      </c>
      <c r="F27">
        <v>240</v>
      </c>
      <c r="G27">
        <v>240</v>
      </c>
      <c r="H27">
        <v>240</v>
      </c>
      <c r="I27">
        <v>1.6026720000000001</v>
      </c>
      <c r="J27">
        <v>5</v>
      </c>
      <c r="K27">
        <v>240</v>
      </c>
      <c r="L27">
        <v>240</v>
      </c>
      <c r="M27">
        <v>0.44789600000000002</v>
      </c>
      <c r="N27">
        <v>5</v>
      </c>
      <c r="O27" s="5">
        <v>240</v>
      </c>
      <c r="P27" s="4">
        <v>240</v>
      </c>
      <c r="Q27">
        <v>5.4099477350000003</v>
      </c>
      <c r="R27">
        <v>5</v>
      </c>
    </row>
    <row r="28" spans="1:18" x14ac:dyDescent="0.3">
      <c r="A28" t="s">
        <v>362</v>
      </c>
      <c r="B28" t="s">
        <v>29</v>
      </c>
      <c r="C28">
        <v>2000</v>
      </c>
      <c r="D28">
        <v>80</v>
      </c>
      <c r="E28" s="1">
        <v>0.89976599999999995</v>
      </c>
      <c r="F28">
        <v>6320</v>
      </c>
      <c r="G28">
        <v>6316</v>
      </c>
      <c r="H28">
        <v>6314</v>
      </c>
      <c r="I28" t="s">
        <v>9</v>
      </c>
      <c r="J28">
        <v>0</v>
      </c>
      <c r="K28">
        <v>6316</v>
      </c>
      <c r="L28">
        <v>6316</v>
      </c>
      <c r="M28" t="s">
        <v>9</v>
      </c>
      <c r="N28">
        <v>0</v>
      </c>
      <c r="O28" s="5">
        <v>6312</v>
      </c>
      <c r="P28" s="4">
        <v>6311.2</v>
      </c>
      <c r="Q28" t="s">
        <v>9</v>
      </c>
      <c r="R28">
        <v>0</v>
      </c>
    </row>
    <row r="29" spans="1:18" x14ac:dyDescent="0.3">
      <c r="A29" t="s">
        <v>362</v>
      </c>
      <c r="B29" t="s">
        <v>30</v>
      </c>
      <c r="C29">
        <v>250</v>
      </c>
      <c r="D29">
        <v>44</v>
      </c>
      <c r="E29" s="1">
        <v>0.89548799999999995</v>
      </c>
      <c r="F29">
        <v>1892</v>
      </c>
      <c r="G29">
        <v>1892</v>
      </c>
      <c r="H29">
        <v>1892</v>
      </c>
      <c r="I29">
        <v>7.9190000000000007E-3</v>
      </c>
      <c r="J29">
        <v>5</v>
      </c>
      <c r="K29">
        <v>1892</v>
      </c>
      <c r="L29">
        <v>1892</v>
      </c>
      <c r="M29">
        <v>5.8820000000000001E-3</v>
      </c>
      <c r="N29">
        <v>5</v>
      </c>
      <c r="O29" s="5">
        <v>1892</v>
      </c>
      <c r="P29" s="4">
        <v>1892</v>
      </c>
      <c r="Q29">
        <v>5.4186964400000003E-2</v>
      </c>
      <c r="R29">
        <v>5</v>
      </c>
    </row>
    <row r="30" spans="1:18" x14ac:dyDescent="0.3">
      <c r="A30" t="s">
        <v>362</v>
      </c>
      <c r="B30" t="s">
        <v>31</v>
      </c>
      <c r="C30">
        <v>4000</v>
      </c>
      <c r="D30">
        <v>18</v>
      </c>
      <c r="E30" s="1">
        <v>0.50003350000000002</v>
      </c>
      <c r="F30">
        <v>306</v>
      </c>
      <c r="G30">
        <v>304</v>
      </c>
      <c r="H30">
        <v>303.2</v>
      </c>
      <c r="I30" t="s">
        <v>9</v>
      </c>
      <c r="J30">
        <v>0</v>
      </c>
      <c r="K30">
        <v>306</v>
      </c>
      <c r="L30">
        <v>304.8</v>
      </c>
      <c r="M30">
        <v>13.107301</v>
      </c>
      <c r="N30">
        <v>2</v>
      </c>
      <c r="O30" s="5">
        <v>304</v>
      </c>
      <c r="P30" s="4">
        <v>304</v>
      </c>
      <c r="Q30" t="s">
        <v>9</v>
      </c>
      <c r="R30">
        <v>0</v>
      </c>
    </row>
    <row r="31" spans="1:18" x14ac:dyDescent="0.3">
      <c r="A31" t="s">
        <v>362</v>
      </c>
      <c r="B31" t="s">
        <v>32</v>
      </c>
      <c r="C31">
        <v>500</v>
      </c>
      <c r="D31">
        <v>57</v>
      </c>
      <c r="E31" s="1">
        <v>0.89865600000000001</v>
      </c>
      <c r="F31">
        <v>3192</v>
      </c>
      <c r="G31">
        <v>3192</v>
      </c>
      <c r="H31">
        <v>3192</v>
      </c>
      <c r="I31">
        <v>0.81910099999999997</v>
      </c>
      <c r="J31">
        <v>5</v>
      </c>
      <c r="K31">
        <v>3192</v>
      </c>
      <c r="L31">
        <v>3192</v>
      </c>
      <c r="M31">
        <v>2.0750000000000001E-2</v>
      </c>
      <c r="N31">
        <v>5</v>
      </c>
      <c r="O31" s="5">
        <v>3192</v>
      </c>
      <c r="P31" s="4">
        <v>3192</v>
      </c>
      <c r="Q31">
        <v>25.598426809999999</v>
      </c>
      <c r="R31">
        <v>5</v>
      </c>
    </row>
    <row r="32" spans="1:18" x14ac:dyDescent="0.3">
      <c r="A32" t="s">
        <v>362</v>
      </c>
      <c r="B32" t="s">
        <v>33</v>
      </c>
      <c r="C32">
        <v>1000</v>
      </c>
      <c r="D32">
        <v>15</v>
      </c>
      <c r="E32" s="1">
        <v>0.49965199999999999</v>
      </c>
      <c r="F32">
        <v>210</v>
      </c>
      <c r="G32">
        <v>210</v>
      </c>
      <c r="H32">
        <v>210</v>
      </c>
      <c r="I32">
        <v>1.075504</v>
      </c>
      <c r="J32">
        <v>5</v>
      </c>
      <c r="K32">
        <v>210</v>
      </c>
      <c r="L32">
        <v>210</v>
      </c>
      <c r="M32">
        <v>6.8903000000000006E-2</v>
      </c>
      <c r="N32">
        <v>5</v>
      </c>
      <c r="O32" s="5">
        <v>210</v>
      </c>
      <c r="P32" s="4">
        <v>210</v>
      </c>
      <c r="Q32">
        <v>2.135175351</v>
      </c>
      <c r="R32">
        <v>5</v>
      </c>
    </row>
    <row r="33" spans="1:18" x14ac:dyDescent="0.3">
      <c r="A33" t="s">
        <v>362</v>
      </c>
      <c r="B33" t="s">
        <v>34</v>
      </c>
      <c r="C33">
        <v>500</v>
      </c>
      <c r="D33">
        <v>13</v>
      </c>
      <c r="E33" s="1">
        <v>0.50099199999999999</v>
      </c>
      <c r="F33">
        <v>156</v>
      </c>
      <c r="G33">
        <v>156</v>
      </c>
      <c r="H33">
        <v>156</v>
      </c>
      <c r="I33">
        <v>5.3990000000000002E-3</v>
      </c>
      <c r="J33">
        <v>5</v>
      </c>
      <c r="K33">
        <v>156</v>
      </c>
      <c r="L33">
        <v>156</v>
      </c>
      <c r="M33">
        <v>6.3199999999999997E-4</v>
      </c>
      <c r="N33">
        <v>5</v>
      </c>
      <c r="O33" s="5">
        <v>156</v>
      </c>
      <c r="P33" s="4">
        <v>156</v>
      </c>
      <c r="Q33">
        <v>9.9505884200000005E-2</v>
      </c>
      <c r="R33">
        <v>5</v>
      </c>
    </row>
    <row r="34" spans="1:18" x14ac:dyDescent="0.3">
      <c r="A34" t="s">
        <v>362</v>
      </c>
      <c r="B34" t="s">
        <v>35</v>
      </c>
      <c r="C34">
        <v>200</v>
      </c>
      <c r="D34">
        <v>44</v>
      </c>
      <c r="E34" s="1">
        <v>0.89549999999999996</v>
      </c>
      <c r="F34">
        <v>1892</v>
      </c>
      <c r="G34">
        <v>1892</v>
      </c>
      <c r="H34">
        <v>1892</v>
      </c>
      <c r="I34">
        <v>4.4648E-2</v>
      </c>
      <c r="J34">
        <v>5</v>
      </c>
      <c r="K34">
        <v>1892</v>
      </c>
      <c r="L34">
        <v>1892</v>
      </c>
      <c r="M34">
        <v>2.931E-3</v>
      </c>
      <c r="N34">
        <v>5</v>
      </c>
      <c r="O34" s="5">
        <v>1892</v>
      </c>
      <c r="P34" s="4">
        <v>1892</v>
      </c>
      <c r="Q34">
        <v>1.33161158E-2</v>
      </c>
      <c r="R34">
        <v>5</v>
      </c>
    </row>
    <row r="35" spans="1:18" x14ac:dyDescent="0.3">
      <c r="A35" t="s">
        <v>362</v>
      </c>
      <c r="B35" t="s">
        <v>36</v>
      </c>
      <c r="C35">
        <v>200</v>
      </c>
      <c r="D35">
        <v>55</v>
      </c>
      <c r="E35" s="1">
        <v>0.89549999999999996</v>
      </c>
      <c r="F35">
        <v>2970</v>
      </c>
      <c r="G35">
        <v>2970</v>
      </c>
      <c r="H35">
        <v>2970</v>
      </c>
      <c r="I35">
        <v>4.1599999999999996E-3</v>
      </c>
      <c r="J35">
        <v>5</v>
      </c>
      <c r="K35">
        <v>2970</v>
      </c>
      <c r="L35">
        <v>2970</v>
      </c>
      <c r="M35">
        <v>2.2950000000000002E-3</v>
      </c>
      <c r="N35">
        <v>5</v>
      </c>
      <c r="O35" s="5">
        <v>2970</v>
      </c>
      <c r="P35" s="4">
        <v>2970</v>
      </c>
      <c r="Q35">
        <v>3.8002617999999999E-3</v>
      </c>
      <c r="R35">
        <v>5</v>
      </c>
    </row>
    <row r="36" spans="1:18" x14ac:dyDescent="0.3">
      <c r="A36" t="s">
        <v>362</v>
      </c>
      <c r="B36" t="s">
        <v>37</v>
      </c>
      <c r="C36">
        <v>400</v>
      </c>
      <c r="D36">
        <v>55</v>
      </c>
      <c r="E36" s="1">
        <v>0.89775000000000005</v>
      </c>
      <c r="F36">
        <v>2970</v>
      </c>
      <c r="G36">
        <v>2970</v>
      </c>
      <c r="H36">
        <v>2970</v>
      </c>
      <c r="I36">
        <v>0.53578499999999996</v>
      </c>
      <c r="J36">
        <v>5</v>
      </c>
      <c r="K36">
        <v>2970</v>
      </c>
      <c r="L36">
        <v>2970</v>
      </c>
      <c r="M36">
        <v>6.4573000000000005E-2</v>
      </c>
      <c r="N36">
        <v>5</v>
      </c>
      <c r="O36" s="5">
        <v>2970</v>
      </c>
      <c r="P36" s="4">
        <v>2970</v>
      </c>
      <c r="Q36">
        <v>1.0677999419999999</v>
      </c>
      <c r="R36">
        <v>5</v>
      </c>
    </row>
    <row r="37" spans="1:18" x14ac:dyDescent="0.3">
      <c r="A37" t="s">
        <v>362</v>
      </c>
      <c r="B37" t="s">
        <v>38</v>
      </c>
      <c r="C37">
        <v>400</v>
      </c>
      <c r="D37">
        <v>65</v>
      </c>
      <c r="E37" s="1">
        <v>0.89775000000000005</v>
      </c>
      <c r="F37">
        <v>4160</v>
      </c>
      <c r="G37">
        <v>4160</v>
      </c>
      <c r="H37">
        <v>4160</v>
      </c>
      <c r="I37">
        <v>4.6018999999999997E-2</v>
      </c>
      <c r="J37">
        <v>5</v>
      </c>
      <c r="K37">
        <v>4160</v>
      </c>
      <c r="L37">
        <v>4160</v>
      </c>
      <c r="M37">
        <v>9.1719999999999996E-3</v>
      </c>
      <c r="N37">
        <v>5</v>
      </c>
      <c r="O37" s="5">
        <v>4160</v>
      </c>
      <c r="P37" s="4">
        <v>4160</v>
      </c>
      <c r="Q37">
        <v>0.10663939679999999</v>
      </c>
      <c r="R37">
        <v>5</v>
      </c>
    </row>
    <row r="38" spans="1:18" x14ac:dyDescent="0.3">
      <c r="A38" t="s">
        <v>362</v>
      </c>
      <c r="B38" t="s">
        <v>39</v>
      </c>
      <c r="C38">
        <v>400</v>
      </c>
      <c r="D38">
        <v>75</v>
      </c>
      <c r="E38" s="1">
        <v>0.89775000000000005</v>
      </c>
      <c r="F38">
        <v>5550</v>
      </c>
      <c r="G38">
        <v>5550</v>
      </c>
      <c r="H38">
        <v>5550</v>
      </c>
      <c r="I38">
        <v>1.494245</v>
      </c>
      <c r="J38">
        <v>5</v>
      </c>
      <c r="K38">
        <v>5550</v>
      </c>
      <c r="L38">
        <v>5550</v>
      </c>
      <c r="M38">
        <v>0.36010500000000001</v>
      </c>
      <c r="N38">
        <v>5</v>
      </c>
      <c r="O38" s="5">
        <v>5550</v>
      </c>
      <c r="P38" s="4">
        <v>5550</v>
      </c>
      <c r="Q38">
        <v>2.0036454410000002</v>
      </c>
      <c r="R38">
        <v>5</v>
      </c>
    </row>
    <row r="39" spans="1:18" x14ac:dyDescent="0.3">
      <c r="A39" t="s">
        <v>362</v>
      </c>
      <c r="B39" t="s">
        <v>40</v>
      </c>
      <c r="C39">
        <v>1024</v>
      </c>
      <c r="D39">
        <v>40</v>
      </c>
      <c r="E39" s="1">
        <v>0.828125</v>
      </c>
      <c r="F39">
        <v>1560</v>
      </c>
      <c r="G39">
        <v>1560</v>
      </c>
      <c r="H39">
        <v>1560</v>
      </c>
      <c r="I39">
        <v>1.9168999999999999E-2</v>
      </c>
      <c r="J39">
        <v>5</v>
      </c>
      <c r="K39">
        <v>1560</v>
      </c>
      <c r="L39">
        <v>1560</v>
      </c>
      <c r="M39">
        <v>2.5270000000000002E-3</v>
      </c>
      <c r="N39">
        <v>5</v>
      </c>
      <c r="O39" s="5">
        <v>1560</v>
      </c>
      <c r="P39" s="4">
        <v>1560</v>
      </c>
      <c r="Q39">
        <v>3.5791246999999998E-2</v>
      </c>
      <c r="R39">
        <v>5</v>
      </c>
    </row>
    <row r="40" spans="1:18" x14ac:dyDescent="0.3">
      <c r="A40" t="s">
        <v>362</v>
      </c>
      <c r="B40" t="s">
        <v>41</v>
      </c>
      <c r="C40">
        <v>256</v>
      </c>
      <c r="D40">
        <v>16</v>
      </c>
      <c r="E40" s="1">
        <v>0.63671875</v>
      </c>
      <c r="F40">
        <v>240</v>
      </c>
      <c r="G40">
        <v>240</v>
      </c>
      <c r="H40">
        <v>240</v>
      </c>
      <c r="I40">
        <v>1.3300000000000001E-4</v>
      </c>
      <c r="J40">
        <v>5</v>
      </c>
      <c r="K40">
        <v>240</v>
      </c>
      <c r="L40">
        <v>240</v>
      </c>
      <c r="M40">
        <v>2.0699999999999999E-4</v>
      </c>
      <c r="N40">
        <v>5</v>
      </c>
      <c r="O40" s="5">
        <v>240</v>
      </c>
      <c r="P40" s="4">
        <v>240</v>
      </c>
      <c r="Q40">
        <v>4.63256E-4</v>
      </c>
      <c r="R40">
        <v>5</v>
      </c>
    </row>
    <row r="41" spans="1:18" x14ac:dyDescent="0.3">
      <c r="A41" t="s">
        <v>362</v>
      </c>
      <c r="B41" t="s">
        <v>42</v>
      </c>
      <c r="C41">
        <v>171</v>
      </c>
      <c r="D41">
        <v>11</v>
      </c>
      <c r="E41" s="1">
        <v>0.64532677000000005</v>
      </c>
      <c r="F41">
        <v>110</v>
      </c>
      <c r="G41">
        <v>110</v>
      </c>
      <c r="H41">
        <v>110</v>
      </c>
      <c r="I41">
        <v>3.2299999999999999E-4</v>
      </c>
      <c r="J41">
        <v>5</v>
      </c>
      <c r="K41">
        <v>110</v>
      </c>
      <c r="L41">
        <v>110</v>
      </c>
      <c r="M41">
        <v>3.39E-4</v>
      </c>
      <c r="N41">
        <v>5</v>
      </c>
      <c r="O41" s="5">
        <v>110</v>
      </c>
      <c r="P41" s="4">
        <v>110</v>
      </c>
      <c r="Q41">
        <v>7.6259426000000003E-3</v>
      </c>
      <c r="R41">
        <v>5</v>
      </c>
    </row>
    <row r="42" spans="1:18" x14ac:dyDescent="0.3">
      <c r="A42" t="s">
        <v>362</v>
      </c>
      <c r="B42" t="s">
        <v>43</v>
      </c>
      <c r="C42">
        <v>776</v>
      </c>
      <c r="D42">
        <v>27</v>
      </c>
      <c r="E42" s="1">
        <v>0.75057790000000002</v>
      </c>
      <c r="F42">
        <v>702</v>
      </c>
      <c r="G42">
        <v>702</v>
      </c>
      <c r="H42">
        <v>702</v>
      </c>
      <c r="I42">
        <v>0.27420499999999998</v>
      </c>
      <c r="J42">
        <v>5</v>
      </c>
      <c r="K42">
        <v>702</v>
      </c>
      <c r="L42">
        <v>702</v>
      </c>
      <c r="M42">
        <v>3.4653000000000003E-2</v>
      </c>
      <c r="N42">
        <v>5</v>
      </c>
      <c r="O42" s="5">
        <v>702</v>
      </c>
      <c r="P42" s="4">
        <v>702</v>
      </c>
      <c r="Q42">
        <v>3.0628680209999999</v>
      </c>
      <c r="R42">
        <v>5</v>
      </c>
    </row>
    <row r="43" spans="1:18" x14ac:dyDescent="0.3">
      <c r="A43" t="s">
        <v>362</v>
      </c>
      <c r="B43" t="s">
        <v>44</v>
      </c>
      <c r="C43">
        <v>3361</v>
      </c>
      <c r="D43">
        <v>59</v>
      </c>
      <c r="E43" s="1">
        <v>0.81794736999999995</v>
      </c>
      <c r="F43">
        <v>3422</v>
      </c>
      <c r="G43">
        <v>3422</v>
      </c>
      <c r="H43">
        <v>3418.8</v>
      </c>
      <c r="I43">
        <v>16.824190000000002</v>
      </c>
      <c r="J43">
        <v>1</v>
      </c>
      <c r="K43">
        <v>3422</v>
      </c>
      <c r="L43">
        <v>3421.2</v>
      </c>
      <c r="M43">
        <v>11.891567999999999</v>
      </c>
      <c r="N43">
        <v>4</v>
      </c>
      <c r="O43" s="5">
        <v>3416</v>
      </c>
      <c r="P43" s="4">
        <v>3416</v>
      </c>
      <c r="Q43" t="s">
        <v>9</v>
      </c>
      <c r="R43">
        <v>0</v>
      </c>
    </row>
    <row r="44" spans="1:18" x14ac:dyDescent="0.3">
      <c r="A44" t="s">
        <v>362</v>
      </c>
      <c r="B44" t="s">
        <v>45</v>
      </c>
      <c r="C44">
        <v>378</v>
      </c>
      <c r="D44">
        <v>126</v>
      </c>
      <c r="E44" s="1">
        <v>0.98752834</v>
      </c>
      <c r="F44">
        <v>15750</v>
      </c>
      <c r="G44">
        <v>15748</v>
      </c>
      <c r="H44">
        <v>15746.4</v>
      </c>
      <c r="I44" t="s">
        <v>9</v>
      </c>
      <c r="J44">
        <v>0</v>
      </c>
      <c r="K44">
        <v>15750</v>
      </c>
      <c r="L44">
        <v>15748.4</v>
      </c>
      <c r="M44">
        <v>1.575329</v>
      </c>
      <c r="N44">
        <v>1</v>
      </c>
      <c r="O44" s="5">
        <v>15750</v>
      </c>
      <c r="P44" s="4">
        <v>15748.8</v>
      </c>
      <c r="Q44">
        <v>49.289689889999998</v>
      </c>
      <c r="R44">
        <v>2</v>
      </c>
    </row>
    <row r="45" spans="1:18" x14ac:dyDescent="0.3">
      <c r="A45" t="s">
        <v>362</v>
      </c>
      <c r="B45" t="s">
        <v>46</v>
      </c>
      <c r="C45">
        <v>1035</v>
      </c>
      <c r="D45">
        <v>345</v>
      </c>
      <c r="E45" s="1">
        <v>0.99533711000000002</v>
      </c>
      <c r="F45">
        <v>118680</v>
      </c>
      <c r="G45">
        <v>118660</v>
      </c>
      <c r="H45">
        <v>118659.2</v>
      </c>
      <c r="I45" t="s">
        <v>9</v>
      </c>
      <c r="J45">
        <v>0</v>
      </c>
      <c r="K45">
        <v>118668</v>
      </c>
      <c r="L45">
        <v>118665.2</v>
      </c>
      <c r="M45" t="s">
        <v>9</v>
      </c>
      <c r="N45">
        <v>0</v>
      </c>
      <c r="O45" s="5">
        <v>118658</v>
      </c>
      <c r="P45" s="4">
        <v>118657.2</v>
      </c>
      <c r="Q45" t="s">
        <v>9</v>
      </c>
      <c r="R45">
        <v>0</v>
      </c>
    </row>
    <row r="46" spans="1:18" x14ac:dyDescent="0.3">
      <c r="A46" t="s">
        <v>362</v>
      </c>
      <c r="B46" t="s">
        <v>47</v>
      </c>
      <c r="C46">
        <v>3321</v>
      </c>
      <c r="D46">
        <v>1100</v>
      </c>
      <c r="E46" s="1">
        <v>0.99852381000000001</v>
      </c>
      <c r="F46">
        <v>1208900</v>
      </c>
      <c r="G46">
        <v>1208864</v>
      </c>
      <c r="H46">
        <v>1208860.8</v>
      </c>
      <c r="I46" t="s">
        <v>9</v>
      </c>
      <c r="J46">
        <v>0</v>
      </c>
      <c r="K46">
        <v>1208866</v>
      </c>
      <c r="L46">
        <v>1208863.2</v>
      </c>
      <c r="M46" t="s">
        <v>9</v>
      </c>
      <c r="N46">
        <v>0</v>
      </c>
      <c r="O46" s="5">
        <v>1208862</v>
      </c>
      <c r="P46" s="4">
        <v>1208860.3999999999</v>
      </c>
      <c r="Q46" t="s">
        <v>9</v>
      </c>
      <c r="R46">
        <v>0</v>
      </c>
    </row>
    <row r="47" spans="1:18" x14ac:dyDescent="0.3">
      <c r="A47" t="s">
        <v>362</v>
      </c>
      <c r="B47" t="s">
        <v>48</v>
      </c>
      <c r="C47">
        <v>1500</v>
      </c>
      <c r="D47">
        <v>12</v>
      </c>
      <c r="E47" s="1">
        <v>0.25326489000000002</v>
      </c>
      <c r="F47">
        <v>132</v>
      </c>
      <c r="G47">
        <v>132</v>
      </c>
      <c r="H47">
        <v>132</v>
      </c>
      <c r="I47">
        <v>5.6508779999999996</v>
      </c>
      <c r="J47">
        <v>5</v>
      </c>
      <c r="K47">
        <v>132</v>
      </c>
      <c r="L47">
        <v>132</v>
      </c>
      <c r="M47">
        <v>1.550802</v>
      </c>
      <c r="N47">
        <v>5</v>
      </c>
      <c r="O47" s="5">
        <v>132</v>
      </c>
      <c r="P47" s="4">
        <v>132</v>
      </c>
      <c r="Q47">
        <v>11.1913526</v>
      </c>
      <c r="R47">
        <v>5</v>
      </c>
    </row>
    <row r="48" spans="1:18" x14ac:dyDescent="0.3">
      <c r="A48" t="s">
        <v>362</v>
      </c>
      <c r="B48" t="s">
        <v>49</v>
      </c>
      <c r="C48">
        <v>1500</v>
      </c>
      <c r="D48">
        <v>65</v>
      </c>
      <c r="E48" s="1">
        <v>0.50574222000000002</v>
      </c>
      <c r="F48">
        <v>4160</v>
      </c>
      <c r="G48">
        <v>4160</v>
      </c>
      <c r="H48">
        <v>4160</v>
      </c>
      <c r="I48">
        <v>1.4291E-2</v>
      </c>
      <c r="J48">
        <v>5</v>
      </c>
      <c r="K48">
        <v>4160</v>
      </c>
      <c r="L48">
        <v>4160</v>
      </c>
      <c r="M48">
        <v>2.8770000000000002E-3</v>
      </c>
      <c r="N48">
        <v>5</v>
      </c>
      <c r="O48" s="5">
        <v>4160</v>
      </c>
      <c r="P48" s="4">
        <v>4160</v>
      </c>
      <c r="Q48">
        <v>1.45220634E-2</v>
      </c>
      <c r="R48">
        <v>5</v>
      </c>
    </row>
    <row r="49" spans="1:18" x14ac:dyDescent="0.3">
      <c r="A49" t="s">
        <v>362</v>
      </c>
      <c r="B49" t="s">
        <v>50</v>
      </c>
      <c r="C49">
        <v>1500</v>
      </c>
      <c r="D49">
        <v>94</v>
      </c>
      <c r="E49" s="1">
        <v>0.75310577999999995</v>
      </c>
      <c r="F49">
        <v>8742</v>
      </c>
      <c r="G49">
        <v>8742</v>
      </c>
      <c r="H49">
        <v>8742</v>
      </c>
      <c r="I49">
        <v>1.1946E-2</v>
      </c>
      <c r="J49">
        <v>5</v>
      </c>
      <c r="K49">
        <v>8742</v>
      </c>
      <c r="L49">
        <v>8742</v>
      </c>
      <c r="M49">
        <v>6.8950000000000001E-3</v>
      </c>
      <c r="N49">
        <v>5</v>
      </c>
      <c r="O49" s="5">
        <v>8742</v>
      </c>
      <c r="P49" s="4">
        <v>8742</v>
      </c>
      <c r="Q49">
        <v>6.2720172000000005E-2</v>
      </c>
      <c r="R49">
        <v>5</v>
      </c>
    </row>
    <row r="50" spans="1:18" x14ac:dyDescent="0.3">
      <c r="A50" t="s">
        <v>362</v>
      </c>
      <c r="B50" t="s">
        <v>51</v>
      </c>
      <c r="C50">
        <v>300</v>
      </c>
      <c r="D50">
        <v>8</v>
      </c>
      <c r="E50" s="1">
        <v>0.24295555999999999</v>
      </c>
      <c r="F50">
        <v>56</v>
      </c>
      <c r="G50">
        <v>56</v>
      </c>
      <c r="H50">
        <v>56</v>
      </c>
      <c r="I50">
        <v>5.1800000000000001E-4</v>
      </c>
      <c r="J50">
        <v>5</v>
      </c>
      <c r="K50">
        <v>56</v>
      </c>
      <c r="L50">
        <v>56</v>
      </c>
      <c r="M50">
        <v>3.8900000000000002E-4</v>
      </c>
      <c r="N50">
        <v>5</v>
      </c>
      <c r="O50" s="5">
        <v>56</v>
      </c>
      <c r="P50" s="4">
        <v>56</v>
      </c>
      <c r="Q50">
        <v>3.2439410000000002E-3</v>
      </c>
      <c r="R50">
        <v>5</v>
      </c>
    </row>
    <row r="51" spans="1:18" x14ac:dyDescent="0.3">
      <c r="A51" t="s">
        <v>362</v>
      </c>
      <c r="B51" t="s">
        <v>52</v>
      </c>
      <c r="C51">
        <v>300</v>
      </c>
      <c r="D51">
        <v>25</v>
      </c>
      <c r="E51" s="1">
        <v>0.48728888999999997</v>
      </c>
      <c r="F51">
        <v>600</v>
      </c>
      <c r="G51">
        <v>600</v>
      </c>
      <c r="H51">
        <v>600</v>
      </c>
      <c r="I51">
        <v>3.3E-4</v>
      </c>
      <c r="J51">
        <v>5</v>
      </c>
      <c r="K51">
        <v>600</v>
      </c>
      <c r="L51">
        <v>600</v>
      </c>
      <c r="M51">
        <v>1.95E-4</v>
      </c>
      <c r="N51">
        <v>5</v>
      </c>
      <c r="O51" s="5">
        <v>600</v>
      </c>
      <c r="P51" s="4">
        <v>600</v>
      </c>
      <c r="Q51">
        <v>3.8080898E-3</v>
      </c>
      <c r="R51">
        <v>5</v>
      </c>
    </row>
    <row r="52" spans="1:18" x14ac:dyDescent="0.3">
      <c r="A52" t="s">
        <v>362</v>
      </c>
      <c r="B52" t="s">
        <v>53</v>
      </c>
      <c r="C52">
        <v>300</v>
      </c>
      <c r="D52">
        <v>36</v>
      </c>
      <c r="E52" s="1">
        <v>0.74199999999999999</v>
      </c>
      <c r="F52">
        <v>1260</v>
      </c>
      <c r="G52">
        <v>1260</v>
      </c>
      <c r="H52">
        <v>1260</v>
      </c>
      <c r="I52">
        <v>7.0790000000000002E-3</v>
      </c>
      <c r="J52">
        <v>5</v>
      </c>
      <c r="K52">
        <v>1260</v>
      </c>
      <c r="L52">
        <v>1260</v>
      </c>
      <c r="M52">
        <v>9.9099999999999991E-4</v>
      </c>
      <c r="N52">
        <v>5</v>
      </c>
      <c r="O52" s="5">
        <v>1260</v>
      </c>
      <c r="P52" s="4">
        <v>1260</v>
      </c>
      <c r="Q52">
        <v>1.67954438E-2</v>
      </c>
      <c r="R52">
        <v>5</v>
      </c>
    </row>
    <row r="53" spans="1:18" x14ac:dyDescent="0.3">
      <c r="A53" t="s">
        <v>362</v>
      </c>
      <c r="B53" t="s">
        <v>54</v>
      </c>
      <c r="C53">
        <v>700</v>
      </c>
      <c r="D53">
        <v>11</v>
      </c>
      <c r="E53" s="1">
        <v>0.24897551000000001</v>
      </c>
      <c r="F53">
        <v>110</v>
      </c>
      <c r="G53">
        <v>110</v>
      </c>
      <c r="H53">
        <v>110</v>
      </c>
      <c r="I53">
        <v>2.5808999999999999E-2</v>
      </c>
      <c r="J53">
        <v>5</v>
      </c>
      <c r="K53">
        <v>110</v>
      </c>
      <c r="L53">
        <v>110</v>
      </c>
      <c r="M53">
        <v>3.3660000000000001E-3</v>
      </c>
      <c r="N53">
        <v>5</v>
      </c>
      <c r="O53" s="5">
        <v>110</v>
      </c>
      <c r="P53" s="4">
        <v>110</v>
      </c>
      <c r="Q53">
        <v>0.119913565</v>
      </c>
      <c r="R53">
        <v>5</v>
      </c>
    </row>
    <row r="54" spans="1:18" x14ac:dyDescent="0.3">
      <c r="A54" t="s">
        <v>362</v>
      </c>
      <c r="B54" t="s">
        <v>55</v>
      </c>
      <c r="C54">
        <v>700</v>
      </c>
      <c r="D54">
        <v>44</v>
      </c>
      <c r="E54" s="1">
        <v>0.49684898</v>
      </c>
      <c r="F54">
        <v>1892</v>
      </c>
      <c r="G54">
        <v>1892</v>
      </c>
      <c r="H54">
        <v>1892</v>
      </c>
      <c r="I54">
        <v>1.4450000000000001E-3</v>
      </c>
      <c r="J54">
        <v>5</v>
      </c>
      <c r="K54">
        <v>1892</v>
      </c>
      <c r="L54">
        <v>1892</v>
      </c>
      <c r="M54">
        <v>7.3999999999999999E-4</v>
      </c>
      <c r="N54">
        <v>5</v>
      </c>
      <c r="O54" s="5">
        <v>1892</v>
      </c>
      <c r="P54" s="4">
        <v>1892</v>
      </c>
      <c r="Q54">
        <v>9.6386709999999997E-3</v>
      </c>
      <c r="R54">
        <v>5</v>
      </c>
    </row>
    <row r="55" spans="1:18" x14ac:dyDescent="0.3">
      <c r="A55" t="s">
        <v>362</v>
      </c>
      <c r="B55" t="s">
        <v>56</v>
      </c>
      <c r="C55">
        <v>700</v>
      </c>
      <c r="D55">
        <v>62</v>
      </c>
      <c r="E55" s="1">
        <v>0.74697959000000003</v>
      </c>
      <c r="F55">
        <v>3782</v>
      </c>
      <c r="G55">
        <v>3782</v>
      </c>
      <c r="H55">
        <v>3782</v>
      </c>
      <c r="I55">
        <v>2.372E-3</v>
      </c>
      <c r="J55">
        <v>5</v>
      </c>
      <c r="K55">
        <v>3782</v>
      </c>
      <c r="L55">
        <v>3782</v>
      </c>
      <c r="M55">
        <v>2.284E-3</v>
      </c>
      <c r="N55">
        <v>5</v>
      </c>
      <c r="O55" s="5">
        <v>3782</v>
      </c>
      <c r="P55" s="4">
        <v>3782</v>
      </c>
      <c r="Q55">
        <v>2.5701612799999999E-2</v>
      </c>
      <c r="R55">
        <v>5</v>
      </c>
    </row>
    <row r="56" spans="1:18" x14ac:dyDescent="0.3">
      <c r="A56" s="8" t="s">
        <v>351</v>
      </c>
      <c r="B56" s="8"/>
      <c r="C56" s="8"/>
      <c r="D56" s="8"/>
      <c r="E56" s="9"/>
      <c r="F56" s="8"/>
      <c r="G56" s="8">
        <f t="array" ref="G56">AVERAGE((F19:F55-G19:G55)/F19:F55)</f>
        <v>2.4267485684229956E-3</v>
      </c>
      <c r="H56" s="8">
        <f t="array" ref="H56">AVERAGE((F19:F55-H19:H55)/F19:F55)</f>
        <v>2.5739789420904085E-3</v>
      </c>
      <c r="I56" s="8" t="s">
        <v>9</v>
      </c>
      <c r="J56" s="8">
        <f>SUM(J19:J55)</f>
        <v>135</v>
      </c>
      <c r="K56" s="8">
        <f t="array" ref="K56">AVERAGE((F19:F55-K19:K55)/F19:F55)</f>
        <v>2.2448027740352059E-3</v>
      </c>
      <c r="L56" s="8">
        <f t="array" ref="L56">AVERAGE((F19:F55-L19:L55)/F19:F55)</f>
        <v>2.3605553781793618E-3</v>
      </c>
      <c r="M56" s="8" t="s">
        <v>9</v>
      </c>
      <c r="N56" s="8">
        <f>SUM(N19:N55)</f>
        <v>142</v>
      </c>
      <c r="O56" s="10">
        <f t="array" ref="O56">AVERAGE((F19:F55-O19:O55)/F19:F55)</f>
        <v>2.5001749433333355E-3</v>
      </c>
      <c r="P56" s="10">
        <f t="array" ref="P56">AVERAGE((F19:F55-P19:P55)/F19:F55)</f>
        <v>2.7633878534528387E-3</v>
      </c>
      <c r="Q56" s="8" t="s">
        <v>9</v>
      </c>
      <c r="R56" s="8">
        <f>SUM(R19:R55)</f>
        <v>127</v>
      </c>
    </row>
    <row r="57" spans="1:18" x14ac:dyDescent="0.3">
      <c r="A57" t="s">
        <v>363</v>
      </c>
      <c r="B57" t="s">
        <v>57</v>
      </c>
      <c r="C57">
        <v>4000</v>
      </c>
      <c r="D57">
        <v>100</v>
      </c>
      <c r="E57" s="1">
        <v>0.92815325000000004</v>
      </c>
      <c r="F57">
        <v>9900</v>
      </c>
      <c r="G57">
        <v>9888</v>
      </c>
      <c r="H57">
        <v>9887.2000000000007</v>
      </c>
      <c r="I57" t="s">
        <v>9</v>
      </c>
      <c r="J57">
        <v>0</v>
      </c>
      <c r="K57">
        <v>9892</v>
      </c>
      <c r="L57">
        <v>9889.6</v>
      </c>
      <c r="M57" t="s">
        <v>9</v>
      </c>
      <c r="N57">
        <v>0</v>
      </c>
      <c r="O57" s="5">
        <v>9882</v>
      </c>
      <c r="P57" s="4">
        <v>9881.2000000000007</v>
      </c>
      <c r="Q57" t="s">
        <v>9</v>
      </c>
      <c r="R57">
        <v>0</v>
      </c>
    </row>
    <row r="58" spans="1:18" x14ac:dyDescent="0.3">
      <c r="A58" t="s">
        <v>363</v>
      </c>
      <c r="B58" t="s">
        <v>58</v>
      </c>
      <c r="C58">
        <v>450</v>
      </c>
      <c r="D58">
        <v>30</v>
      </c>
      <c r="E58" s="1">
        <v>0.82170863999999999</v>
      </c>
      <c r="F58">
        <v>870</v>
      </c>
      <c r="G58">
        <v>870</v>
      </c>
      <c r="H58">
        <v>870</v>
      </c>
      <c r="I58">
        <v>0.193356</v>
      </c>
      <c r="J58">
        <v>5</v>
      </c>
      <c r="K58">
        <v>870</v>
      </c>
      <c r="L58">
        <v>870</v>
      </c>
      <c r="M58">
        <v>2.3487000000000001E-2</v>
      </c>
      <c r="N58">
        <v>5</v>
      </c>
      <c r="O58" s="5">
        <v>870</v>
      </c>
      <c r="P58" s="4">
        <v>870</v>
      </c>
      <c r="Q58">
        <v>4.6115887439999996</v>
      </c>
      <c r="R58">
        <v>5</v>
      </c>
    </row>
    <row r="59" spans="1:18" x14ac:dyDescent="0.3">
      <c r="A59" t="s">
        <v>363</v>
      </c>
      <c r="B59" t="s">
        <v>59</v>
      </c>
      <c r="C59">
        <v>450</v>
      </c>
      <c r="D59">
        <v>30</v>
      </c>
      <c r="E59" s="1">
        <v>0.82124443999999996</v>
      </c>
      <c r="F59">
        <v>870</v>
      </c>
      <c r="G59">
        <v>870</v>
      </c>
      <c r="H59">
        <v>870</v>
      </c>
      <c r="I59">
        <v>0.314413</v>
      </c>
      <c r="J59">
        <v>5</v>
      </c>
      <c r="K59">
        <v>870</v>
      </c>
      <c r="L59">
        <v>870</v>
      </c>
      <c r="M59">
        <v>3.2444000000000001E-2</v>
      </c>
      <c r="N59">
        <v>5</v>
      </c>
      <c r="O59" s="5">
        <v>870</v>
      </c>
      <c r="P59" s="4">
        <v>870</v>
      </c>
      <c r="Q59">
        <v>13.260367130000001</v>
      </c>
      <c r="R59">
        <v>5</v>
      </c>
    </row>
    <row r="60" spans="1:18" x14ac:dyDescent="0.3">
      <c r="A60" t="s">
        <v>363</v>
      </c>
      <c r="B60" t="s">
        <v>60</v>
      </c>
      <c r="C60">
        <v>450</v>
      </c>
      <c r="D60">
        <v>30</v>
      </c>
      <c r="E60" s="1">
        <v>0.82188642000000001</v>
      </c>
      <c r="F60">
        <v>870</v>
      </c>
      <c r="G60">
        <v>870</v>
      </c>
      <c r="H60">
        <v>870</v>
      </c>
      <c r="I60">
        <v>2.0344419999999999</v>
      </c>
      <c r="J60">
        <v>5</v>
      </c>
      <c r="K60">
        <v>870</v>
      </c>
      <c r="L60">
        <v>870</v>
      </c>
      <c r="M60">
        <v>0.431558</v>
      </c>
      <c r="N60">
        <v>5</v>
      </c>
      <c r="O60" s="5">
        <v>870</v>
      </c>
      <c r="P60" s="4">
        <v>868.8</v>
      </c>
      <c r="Q60">
        <v>3.3544224389999999</v>
      </c>
      <c r="R60">
        <v>2</v>
      </c>
    </row>
    <row r="61" spans="1:18" x14ac:dyDescent="0.3">
      <c r="A61" t="s">
        <v>363</v>
      </c>
      <c r="B61" t="s">
        <v>61</v>
      </c>
      <c r="C61">
        <v>450</v>
      </c>
      <c r="D61">
        <v>30</v>
      </c>
      <c r="E61" s="1">
        <v>0.82166914000000002</v>
      </c>
      <c r="F61">
        <v>870</v>
      </c>
      <c r="G61">
        <v>870</v>
      </c>
      <c r="H61">
        <v>870</v>
      </c>
      <c r="I61">
        <v>0.16853000000000001</v>
      </c>
      <c r="J61">
        <v>5</v>
      </c>
      <c r="K61">
        <v>870</v>
      </c>
      <c r="L61">
        <v>870</v>
      </c>
      <c r="M61">
        <v>1.1721000000000001E-2</v>
      </c>
      <c r="N61">
        <v>5</v>
      </c>
      <c r="O61" s="5">
        <v>870</v>
      </c>
      <c r="P61" s="4">
        <v>870</v>
      </c>
      <c r="Q61">
        <v>9.4809585349999992</v>
      </c>
      <c r="R61">
        <v>5</v>
      </c>
    </row>
    <row r="62" spans="1:18" x14ac:dyDescent="0.3">
      <c r="A62" t="s">
        <v>363</v>
      </c>
      <c r="B62" t="s">
        <v>62</v>
      </c>
      <c r="C62">
        <v>450</v>
      </c>
      <c r="D62">
        <v>30</v>
      </c>
      <c r="E62" s="1">
        <v>0.82203457000000002</v>
      </c>
      <c r="F62">
        <v>870</v>
      </c>
      <c r="G62">
        <v>870</v>
      </c>
      <c r="H62">
        <v>870</v>
      </c>
      <c r="I62">
        <v>1.118352</v>
      </c>
      <c r="J62">
        <v>5</v>
      </c>
      <c r="K62">
        <v>870</v>
      </c>
      <c r="L62">
        <v>870</v>
      </c>
      <c r="M62">
        <v>7.1568999999999994E-2</v>
      </c>
      <c r="N62">
        <v>5</v>
      </c>
      <c r="O62" s="5">
        <v>870</v>
      </c>
      <c r="P62" s="4">
        <v>868.4</v>
      </c>
      <c r="Q62">
        <v>0.56315788600000005</v>
      </c>
      <c r="R62">
        <v>1</v>
      </c>
    </row>
    <row r="63" spans="1:18" x14ac:dyDescent="0.3">
      <c r="A63" t="s">
        <v>363</v>
      </c>
      <c r="B63" t="s">
        <v>63</v>
      </c>
      <c r="C63">
        <v>595</v>
      </c>
      <c r="D63">
        <v>35</v>
      </c>
      <c r="E63" s="1">
        <v>0.84095191000000002</v>
      </c>
      <c r="F63">
        <v>1190</v>
      </c>
      <c r="G63">
        <v>1190</v>
      </c>
      <c r="H63">
        <v>1189.2</v>
      </c>
      <c r="I63">
        <v>25.877662000000001</v>
      </c>
      <c r="J63">
        <v>3</v>
      </c>
      <c r="K63">
        <v>1190</v>
      </c>
      <c r="L63">
        <v>1190</v>
      </c>
      <c r="M63">
        <v>4.7056750000000003</v>
      </c>
      <c r="N63">
        <v>5</v>
      </c>
      <c r="O63" s="5">
        <v>1188</v>
      </c>
      <c r="P63" s="4">
        <v>1187.5999999999999</v>
      </c>
      <c r="Q63" t="s">
        <v>9</v>
      </c>
      <c r="R63">
        <v>0</v>
      </c>
    </row>
    <row r="64" spans="1:18" x14ac:dyDescent="0.3">
      <c r="A64" t="s">
        <v>363</v>
      </c>
      <c r="B64" t="s">
        <v>64</v>
      </c>
      <c r="C64">
        <v>595</v>
      </c>
      <c r="D64">
        <v>35</v>
      </c>
      <c r="E64" s="1">
        <v>0.84100275000000002</v>
      </c>
      <c r="F64">
        <v>1190</v>
      </c>
      <c r="G64">
        <v>1190</v>
      </c>
      <c r="H64">
        <v>1190</v>
      </c>
      <c r="I64">
        <v>6.6815889999999998</v>
      </c>
      <c r="J64">
        <v>5</v>
      </c>
      <c r="K64">
        <v>1190</v>
      </c>
      <c r="L64">
        <v>1190</v>
      </c>
      <c r="M64">
        <v>0.72560400000000003</v>
      </c>
      <c r="N64">
        <v>5</v>
      </c>
      <c r="O64" s="5">
        <v>1190</v>
      </c>
      <c r="P64" s="4">
        <v>1188.4000000000001</v>
      </c>
      <c r="Q64">
        <v>32.19565059</v>
      </c>
      <c r="R64">
        <v>1</v>
      </c>
    </row>
    <row r="65" spans="1:18" x14ac:dyDescent="0.3">
      <c r="A65" t="s">
        <v>363</v>
      </c>
      <c r="B65" t="s">
        <v>65</v>
      </c>
      <c r="C65">
        <v>595</v>
      </c>
      <c r="D65">
        <v>35</v>
      </c>
      <c r="E65" s="1">
        <v>0.84052821</v>
      </c>
      <c r="F65">
        <v>1190</v>
      </c>
      <c r="G65">
        <v>1190</v>
      </c>
      <c r="H65">
        <v>1190</v>
      </c>
      <c r="I65">
        <v>0.238677</v>
      </c>
      <c r="J65">
        <v>5</v>
      </c>
      <c r="K65">
        <v>1190</v>
      </c>
      <c r="L65">
        <v>1190</v>
      </c>
      <c r="M65">
        <v>5.9456000000000002E-2</v>
      </c>
      <c r="N65">
        <v>5</v>
      </c>
      <c r="O65" s="5">
        <v>1190</v>
      </c>
      <c r="P65" s="4">
        <v>1190</v>
      </c>
      <c r="Q65">
        <v>7.8860388390000002</v>
      </c>
      <c r="R65">
        <v>5</v>
      </c>
    </row>
    <row r="66" spans="1:18" x14ac:dyDescent="0.3">
      <c r="A66" t="s">
        <v>363</v>
      </c>
      <c r="B66" t="s">
        <v>66</v>
      </c>
      <c r="C66">
        <v>595</v>
      </c>
      <c r="D66">
        <v>35</v>
      </c>
      <c r="E66" s="1">
        <v>0.84103099999999997</v>
      </c>
      <c r="F66">
        <v>1190</v>
      </c>
      <c r="G66">
        <v>1190</v>
      </c>
      <c r="H66">
        <v>1189.5999999999999</v>
      </c>
      <c r="I66">
        <v>29.253055</v>
      </c>
      <c r="J66">
        <v>4</v>
      </c>
      <c r="K66">
        <v>1190</v>
      </c>
      <c r="L66">
        <v>1190</v>
      </c>
      <c r="M66">
        <v>2.0903580000000002</v>
      </c>
      <c r="N66">
        <v>5</v>
      </c>
      <c r="O66" s="5">
        <v>1190</v>
      </c>
      <c r="P66" s="4">
        <v>1188.4000000000001</v>
      </c>
      <c r="Q66">
        <v>6.9543507079999998</v>
      </c>
      <c r="R66">
        <v>1</v>
      </c>
    </row>
    <row r="67" spans="1:18" x14ac:dyDescent="0.3">
      <c r="A67" t="s">
        <v>363</v>
      </c>
      <c r="B67" t="s">
        <v>67</v>
      </c>
      <c r="C67">
        <v>595</v>
      </c>
      <c r="D67">
        <v>35</v>
      </c>
      <c r="E67" s="1">
        <v>0.83933055999999995</v>
      </c>
      <c r="F67">
        <v>1190</v>
      </c>
      <c r="G67">
        <v>1190</v>
      </c>
      <c r="H67">
        <v>1190</v>
      </c>
      <c r="I67">
        <v>1.266661</v>
      </c>
      <c r="J67">
        <v>5</v>
      </c>
      <c r="K67">
        <v>1190</v>
      </c>
      <c r="L67">
        <v>1190</v>
      </c>
      <c r="M67">
        <v>0.41847600000000001</v>
      </c>
      <c r="N67">
        <v>5</v>
      </c>
      <c r="O67" s="5">
        <v>1190</v>
      </c>
      <c r="P67" s="4">
        <v>1189.5999999999999</v>
      </c>
      <c r="Q67">
        <v>29.273589449999999</v>
      </c>
      <c r="R67">
        <v>4</v>
      </c>
    </row>
    <row r="68" spans="1:18" x14ac:dyDescent="0.3">
      <c r="A68" t="s">
        <v>363</v>
      </c>
      <c r="B68" t="s">
        <v>68</v>
      </c>
      <c r="C68">
        <v>760</v>
      </c>
      <c r="D68">
        <v>40</v>
      </c>
      <c r="E68" s="1">
        <v>0.85563018999999996</v>
      </c>
      <c r="F68">
        <v>1560</v>
      </c>
      <c r="G68">
        <v>1560</v>
      </c>
      <c r="H68">
        <v>1560</v>
      </c>
      <c r="I68">
        <v>6.9545779999999997</v>
      </c>
      <c r="J68">
        <v>5</v>
      </c>
      <c r="K68">
        <v>1560</v>
      </c>
      <c r="L68">
        <v>1560</v>
      </c>
      <c r="M68">
        <v>0.48308800000000002</v>
      </c>
      <c r="N68">
        <v>5</v>
      </c>
      <c r="O68" s="5">
        <v>1558</v>
      </c>
      <c r="P68" s="4">
        <v>1558</v>
      </c>
      <c r="Q68" t="s">
        <v>9</v>
      </c>
      <c r="R68">
        <v>0</v>
      </c>
    </row>
    <row r="69" spans="1:18" x14ac:dyDescent="0.3">
      <c r="A69" t="s">
        <v>363</v>
      </c>
      <c r="B69" t="s">
        <v>69</v>
      </c>
      <c r="C69">
        <v>760</v>
      </c>
      <c r="D69">
        <v>40</v>
      </c>
      <c r="E69" s="1">
        <v>0.85580679000000004</v>
      </c>
      <c r="F69">
        <v>1560</v>
      </c>
      <c r="G69">
        <v>1558</v>
      </c>
      <c r="H69">
        <v>1558</v>
      </c>
      <c r="I69" t="s">
        <v>9</v>
      </c>
      <c r="J69">
        <v>0</v>
      </c>
      <c r="K69">
        <v>1560</v>
      </c>
      <c r="L69">
        <v>1559.6</v>
      </c>
      <c r="M69">
        <v>18.710422000000001</v>
      </c>
      <c r="N69">
        <v>4</v>
      </c>
      <c r="O69" s="5">
        <v>1558</v>
      </c>
      <c r="P69" s="4">
        <v>1556.8</v>
      </c>
      <c r="Q69" t="s">
        <v>9</v>
      </c>
      <c r="R69">
        <v>0</v>
      </c>
    </row>
    <row r="70" spans="1:18" x14ac:dyDescent="0.3">
      <c r="A70" t="s">
        <v>363</v>
      </c>
      <c r="B70" t="s">
        <v>70</v>
      </c>
      <c r="C70">
        <v>760</v>
      </c>
      <c r="D70">
        <v>40</v>
      </c>
      <c r="E70" s="1">
        <v>0.8563885</v>
      </c>
      <c r="F70">
        <v>1560</v>
      </c>
      <c r="G70">
        <v>1560</v>
      </c>
      <c r="H70">
        <v>1560</v>
      </c>
      <c r="I70">
        <v>11.093507000000001</v>
      </c>
      <c r="J70">
        <v>5</v>
      </c>
      <c r="K70">
        <v>1560</v>
      </c>
      <c r="L70">
        <v>1560</v>
      </c>
      <c r="M70">
        <v>0.83123899999999995</v>
      </c>
      <c r="N70">
        <v>5</v>
      </c>
      <c r="O70" s="5">
        <v>1560</v>
      </c>
      <c r="P70" s="4">
        <v>1558.8</v>
      </c>
      <c r="Q70">
        <v>24.38052884</v>
      </c>
      <c r="R70">
        <v>2</v>
      </c>
    </row>
    <row r="71" spans="1:18" x14ac:dyDescent="0.3">
      <c r="A71" t="s">
        <v>363</v>
      </c>
      <c r="B71" t="s">
        <v>71</v>
      </c>
      <c r="C71">
        <v>760</v>
      </c>
      <c r="D71">
        <v>40</v>
      </c>
      <c r="E71" s="1">
        <v>0.85462258000000002</v>
      </c>
      <c r="F71">
        <v>1560</v>
      </c>
      <c r="G71">
        <v>1558</v>
      </c>
      <c r="H71">
        <v>1558</v>
      </c>
      <c r="I71" t="s">
        <v>9</v>
      </c>
      <c r="J71">
        <v>0</v>
      </c>
      <c r="K71">
        <v>1560</v>
      </c>
      <c r="L71">
        <v>1560</v>
      </c>
      <c r="M71">
        <v>31.428602000000001</v>
      </c>
      <c r="N71">
        <v>5</v>
      </c>
      <c r="O71" s="5">
        <v>1560</v>
      </c>
      <c r="P71" s="4">
        <v>1557.6</v>
      </c>
      <c r="Q71">
        <v>8.982390573</v>
      </c>
      <c r="R71">
        <v>1</v>
      </c>
    </row>
    <row r="72" spans="1:18" x14ac:dyDescent="0.3">
      <c r="A72" t="s">
        <v>363</v>
      </c>
      <c r="B72" t="s">
        <v>72</v>
      </c>
      <c r="C72">
        <v>760</v>
      </c>
      <c r="D72">
        <v>40</v>
      </c>
      <c r="E72" s="1">
        <v>0.8545741</v>
      </c>
      <c r="F72">
        <v>1560</v>
      </c>
      <c r="G72">
        <v>1560</v>
      </c>
      <c r="H72">
        <v>1558.4</v>
      </c>
      <c r="I72">
        <v>11.742122999999999</v>
      </c>
      <c r="J72">
        <v>1</v>
      </c>
      <c r="K72">
        <v>1560</v>
      </c>
      <c r="L72">
        <v>1558.4</v>
      </c>
      <c r="M72">
        <v>24.567641999999999</v>
      </c>
      <c r="N72">
        <v>1</v>
      </c>
      <c r="O72" s="5">
        <v>1558</v>
      </c>
      <c r="P72" s="4">
        <v>1557.2</v>
      </c>
      <c r="Q72" t="s">
        <v>9</v>
      </c>
      <c r="R72">
        <v>0</v>
      </c>
    </row>
    <row r="73" spans="1:18" x14ac:dyDescent="0.3">
      <c r="A73" t="s">
        <v>363</v>
      </c>
      <c r="B73" t="s">
        <v>73</v>
      </c>
      <c r="C73">
        <v>945</v>
      </c>
      <c r="D73">
        <v>45</v>
      </c>
      <c r="E73" s="1">
        <v>0.86639007999999995</v>
      </c>
      <c r="F73">
        <v>1980</v>
      </c>
      <c r="G73">
        <v>1980</v>
      </c>
      <c r="H73">
        <v>1978.8</v>
      </c>
      <c r="I73">
        <v>25.384981</v>
      </c>
      <c r="J73">
        <v>2</v>
      </c>
      <c r="K73">
        <v>1980</v>
      </c>
      <c r="L73">
        <v>1980</v>
      </c>
      <c r="M73">
        <v>9.4595190000000002</v>
      </c>
      <c r="N73">
        <v>5</v>
      </c>
      <c r="O73" s="5">
        <v>1978</v>
      </c>
      <c r="P73" s="4">
        <v>1976.8</v>
      </c>
      <c r="Q73" t="s">
        <v>9</v>
      </c>
      <c r="R73">
        <v>0</v>
      </c>
    </row>
    <row r="74" spans="1:18" x14ac:dyDescent="0.3">
      <c r="A74" t="s">
        <v>363</v>
      </c>
      <c r="B74" t="s">
        <v>74</v>
      </c>
      <c r="C74">
        <v>945</v>
      </c>
      <c r="D74">
        <v>45</v>
      </c>
      <c r="E74" s="1">
        <v>0.86764872000000004</v>
      </c>
      <c r="F74">
        <v>1980</v>
      </c>
      <c r="G74">
        <v>1980</v>
      </c>
      <c r="H74">
        <v>1978.4</v>
      </c>
      <c r="I74">
        <v>27.356331000000001</v>
      </c>
      <c r="J74">
        <v>2</v>
      </c>
      <c r="K74">
        <v>1980</v>
      </c>
      <c r="L74">
        <v>1980</v>
      </c>
      <c r="M74">
        <v>20.545119</v>
      </c>
      <c r="N74">
        <v>5</v>
      </c>
      <c r="O74" s="5">
        <v>1978</v>
      </c>
      <c r="P74" s="4">
        <v>1976.8</v>
      </c>
      <c r="Q74" t="s">
        <v>9</v>
      </c>
      <c r="R74">
        <v>0</v>
      </c>
    </row>
    <row r="75" spans="1:18" x14ac:dyDescent="0.3">
      <c r="A75" t="s">
        <v>363</v>
      </c>
      <c r="B75" t="s">
        <v>75</v>
      </c>
      <c r="C75">
        <v>945</v>
      </c>
      <c r="D75">
        <v>45</v>
      </c>
      <c r="E75" s="1">
        <v>0.86849752000000002</v>
      </c>
      <c r="F75">
        <v>1980</v>
      </c>
      <c r="G75">
        <v>1978</v>
      </c>
      <c r="H75">
        <v>1977.2</v>
      </c>
      <c r="I75" t="s">
        <v>9</v>
      </c>
      <c r="J75">
        <v>0</v>
      </c>
      <c r="K75">
        <v>1980</v>
      </c>
      <c r="L75">
        <v>1978.8</v>
      </c>
      <c r="M75">
        <v>23.751844999999999</v>
      </c>
      <c r="N75">
        <v>2</v>
      </c>
      <c r="O75" s="5">
        <v>1976</v>
      </c>
      <c r="P75" s="4">
        <v>1976</v>
      </c>
      <c r="Q75" t="s">
        <v>9</v>
      </c>
      <c r="R75">
        <v>0</v>
      </c>
    </row>
    <row r="76" spans="1:18" x14ac:dyDescent="0.3">
      <c r="A76" t="s">
        <v>363</v>
      </c>
      <c r="B76" t="s">
        <v>76</v>
      </c>
      <c r="C76">
        <v>945</v>
      </c>
      <c r="D76">
        <v>45</v>
      </c>
      <c r="E76" s="1">
        <v>0.86781668999999995</v>
      </c>
      <c r="F76">
        <v>1980</v>
      </c>
      <c r="G76">
        <v>1980</v>
      </c>
      <c r="H76">
        <v>1978.8</v>
      </c>
      <c r="I76">
        <v>6.8914119999999999</v>
      </c>
      <c r="J76">
        <v>2</v>
      </c>
      <c r="K76">
        <v>1980</v>
      </c>
      <c r="L76">
        <v>1980</v>
      </c>
      <c r="M76">
        <v>13.593260000000001</v>
      </c>
      <c r="N76">
        <v>5</v>
      </c>
      <c r="O76" s="5">
        <v>1980</v>
      </c>
      <c r="P76" s="4">
        <v>1977.2</v>
      </c>
      <c r="Q76">
        <v>58.697497740000003</v>
      </c>
      <c r="R76">
        <v>1</v>
      </c>
    </row>
    <row r="77" spans="1:18" x14ac:dyDescent="0.3">
      <c r="A77" t="s">
        <v>363</v>
      </c>
      <c r="B77" t="s">
        <v>77</v>
      </c>
      <c r="C77">
        <v>945</v>
      </c>
      <c r="D77">
        <v>45</v>
      </c>
      <c r="E77" s="1">
        <v>0.86774949999999995</v>
      </c>
      <c r="F77">
        <v>1980</v>
      </c>
      <c r="G77">
        <v>1980</v>
      </c>
      <c r="H77">
        <v>1978.4</v>
      </c>
      <c r="I77">
        <v>7.1731749999999996</v>
      </c>
      <c r="J77">
        <v>1</v>
      </c>
      <c r="K77">
        <v>1980</v>
      </c>
      <c r="L77">
        <v>1980</v>
      </c>
      <c r="M77">
        <v>17.659237000000001</v>
      </c>
      <c r="N77">
        <v>5</v>
      </c>
      <c r="O77" s="5">
        <v>1978</v>
      </c>
      <c r="P77" s="4">
        <v>1976.4</v>
      </c>
      <c r="Q77" t="s">
        <v>9</v>
      </c>
      <c r="R77">
        <v>0</v>
      </c>
    </row>
    <row r="78" spans="1:18" x14ac:dyDescent="0.3">
      <c r="A78" t="s">
        <v>363</v>
      </c>
      <c r="B78" t="s">
        <v>78</v>
      </c>
      <c r="C78">
        <v>1150</v>
      </c>
      <c r="D78">
        <v>50</v>
      </c>
      <c r="E78" s="1">
        <v>0.87803856000000002</v>
      </c>
      <c r="F78">
        <v>2450</v>
      </c>
      <c r="G78">
        <v>2448</v>
      </c>
      <c r="H78">
        <v>2446.4</v>
      </c>
      <c r="I78" t="s">
        <v>9</v>
      </c>
      <c r="J78">
        <v>0</v>
      </c>
      <c r="K78">
        <v>2450</v>
      </c>
      <c r="L78">
        <v>2448.4</v>
      </c>
      <c r="M78">
        <v>4.4404459999999997</v>
      </c>
      <c r="N78">
        <v>1</v>
      </c>
      <c r="O78" s="5">
        <v>2446</v>
      </c>
      <c r="P78" s="4">
        <v>2445.1999999999998</v>
      </c>
      <c r="Q78" t="s">
        <v>9</v>
      </c>
      <c r="R78">
        <v>0</v>
      </c>
    </row>
    <row r="79" spans="1:18" x14ac:dyDescent="0.3">
      <c r="A79" t="s">
        <v>363</v>
      </c>
      <c r="B79" t="s">
        <v>79</v>
      </c>
      <c r="C79">
        <v>1150</v>
      </c>
      <c r="D79">
        <v>50</v>
      </c>
      <c r="E79" s="1">
        <v>0.87686048999999999</v>
      </c>
      <c r="F79">
        <v>2450</v>
      </c>
      <c r="G79">
        <v>2448</v>
      </c>
      <c r="H79">
        <v>2446.8000000000002</v>
      </c>
      <c r="I79" t="s">
        <v>9</v>
      </c>
      <c r="J79">
        <v>0</v>
      </c>
      <c r="K79">
        <v>2448</v>
      </c>
      <c r="L79">
        <v>2448</v>
      </c>
      <c r="M79" t="s">
        <v>9</v>
      </c>
      <c r="N79">
        <v>0</v>
      </c>
      <c r="O79" s="5">
        <v>2446</v>
      </c>
      <c r="P79" s="4">
        <v>2445.1999999999998</v>
      </c>
      <c r="Q79" t="s">
        <v>9</v>
      </c>
      <c r="R79">
        <v>0</v>
      </c>
    </row>
    <row r="80" spans="1:18" x14ac:dyDescent="0.3">
      <c r="A80" t="s">
        <v>363</v>
      </c>
      <c r="B80" t="s">
        <v>80</v>
      </c>
      <c r="C80">
        <v>1150</v>
      </c>
      <c r="D80">
        <v>50</v>
      </c>
      <c r="E80" s="1">
        <v>0.87653232999999997</v>
      </c>
      <c r="F80">
        <v>2450</v>
      </c>
      <c r="G80">
        <v>2448</v>
      </c>
      <c r="H80">
        <v>2447.1999999999998</v>
      </c>
      <c r="I80" t="s">
        <v>9</v>
      </c>
      <c r="J80">
        <v>0</v>
      </c>
      <c r="K80">
        <v>2448</v>
      </c>
      <c r="L80">
        <v>2448</v>
      </c>
      <c r="M80" t="s">
        <v>9</v>
      </c>
      <c r="N80">
        <v>0</v>
      </c>
      <c r="O80" s="5">
        <v>2446</v>
      </c>
      <c r="P80" s="4">
        <v>2446</v>
      </c>
      <c r="Q80" t="s">
        <v>9</v>
      </c>
      <c r="R80">
        <v>0</v>
      </c>
    </row>
    <row r="81" spans="1:18" x14ac:dyDescent="0.3">
      <c r="A81" t="s">
        <v>363</v>
      </c>
      <c r="B81" t="s">
        <v>81</v>
      </c>
      <c r="C81">
        <v>1150</v>
      </c>
      <c r="D81">
        <v>50</v>
      </c>
      <c r="E81" s="1">
        <v>0.87775727999999997</v>
      </c>
      <c r="F81">
        <v>2450</v>
      </c>
      <c r="G81">
        <v>2448</v>
      </c>
      <c r="H81">
        <v>2447.1999999999998</v>
      </c>
      <c r="I81" t="s">
        <v>9</v>
      </c>
      <c r="J81">
        <v>0</v>
      </c>
      <c r="K81">
        <v>2450</v>
      </c>
      <c r="L81">
        <v>2450</v>
      </c>
      <c r="M81">
        <v>14.839062</v>
      </c>
      <c r="N81">
        <v>5</v>
      </c>
      <c r="O81" s="5">
        <v>2446</v>
      </c>
      <c r="P81" s="4">
        <v>2445.6</v>
      </c>
      <c r="Q81" t="s">
        <v>9</v>
      </c>
      <c r="R81">
        <v>0</v>
      </c>
    </row>
    <row r="82" spans="1:18" x14ac:dyDescent="0.3">
      <c r="A82" t="s">
        <v>363</v>
      </c>
      <c r="B82" t="s">
        <v>82</v>
      </c>
      <c r="C82">
        <v>1150</v>
      </c>
      <c r="D82">
        <v>50</v>
      </c>
      <c r="E82" s="1">
        <v>0.87809451999999999</v>
      </c>
      <c r="F82">
        <v>2450</v>
      </c>
      <c r="G82">
        <v>2450</v>
      </c>
      <c r="H82">
        <v>2447.1999999999998</v>
      </c>
      <c r="I82">
        <v>56.501446000000001</v>
      </c>
      <c r="J82">
        <v>1</v>
      </c>
      <c r="K82">
        <v>2450</v>
      </c>
      <c r="L82">
        <v>2450</v>
      </c>
      <c r="M82">
        <v>11.869291</v>
      </c>
      <c r="N82">
        <v>5</v>
      </c>
      <c r="O82" s="5">
        <v>2446</v>
      </c>
      <c r="P82" s="4">
        <v>2445.6</v>
      </c>
      <c r="Q82" t="s">
        <v>9</v>
      </c>
      <c r="R82">
        <v>0</v>
      </c>
    </row>
    <row r="83" spans="1:18" x14ac:dyDescent="0.3">
      <c r="A83" t="s">
        <v>363</v>
      </c>
      <c r="B83" t="s">
        <v>83</v>
      </c>
      <c r="C83">
        <v>1272</v>
      </c>
      <c r="D83">
        <v>53</v>
      </c>
      <c r="E83" s="1">
        <v>0.88273926000000003</v>
      </c>
      <c r="F83">
        <v>2756</v>
      </c>
      <c r="G83">
        <v>2754</v>
      </c>
      <c r="H83">
        <v>2752.4</v>
      </c>
      <c r="I83" t="s">
        <v>9</v>
      </c>
      <c r="J83">
        <v>0</v>
      </c>
      <c r="K83">
        <v>2754</v>
      </c>
      <c r="L83">
        <v>2753.6</v>
      </c>
      <c r="M83" t="s">
        <v>9</v>
      </c>
      <c r="N83">
        <v>0</v>
      </c>
      <c r="O83" s="5">
        <v>2750</v>
      </c>
      <c r="P83" s="4">
        <v>2749.6</v>
      </c>
      <c r="Q83" t="s">
        <v>9</v>
      </c>
      <c r="R83">
        <v>0</v>
      </c>
    </row>
    <row r="84" spans="1:18" x14ac:dyDescent="0.3">
      <c r="A84" t="s">
        <v>363</v>
      </c>
      <c r="B84" t="s">
        <v>84</v>
      </c>
      <c r="C84">
        <v>1272</v>
      </c>
      <c r="D84">
        <v>53</v>
      </c>
      <c r="E84" s="1">
        <v>0.88266261999999995</v>
      </c>
      <c r="F84">
        <v>2756</v>
      </c>
      <c r="G84">
        <v>2754</v>
      </c>
      <c r="H84">
        <v>2752.4</v>
      </c>
      <c r="I84" t="s">
        <v>9</v>
      </c>
      <c r="J84">
        <v>0</v>
      </c>
      <c r="K84">
        <v>2754</v>
      </c>
      <c r="L84">
        <v>2754</v>
      </c>
      <c r="M84" t="s">
        <v>9</v>
      </c>
      <c r="N84">
        <v>0</v>
      </c>
      <c r="O84" s="5">
        <v>2752</v>
      </c>
      <c r="P84" s="4">
        <v>2750.8</v>
      </c>
      <c r="Q84" t="s">
        <v>9</v>
      </c>
      <c r="R84">
        <v>0</v>
      </c>
    </row>
    <row r="85" spans="1:18" x14ac:dyDescent="0.3">
      <c r="A85" t="s">
        <v>363</v>
      </c>
      <c r="B85" t="s">
        <v>85</v>
      </c>
      <c r="C85">
        <v>1272</v>
      </c>
      <c r="D85">
        <v>53</v>
      </c>
      <c r="E85" s="1">
        <v>0.88286286999999997</v>
      </c>
      <c r="F85">
        <v>2756</v>
      </c>
      <c r="G85">
        <v>2752</v>
      </c>
      <c r="H85">
        <v>2752</v>
      </c>
      <c r="I85" t="s">
        <v>9</v>
      </c>
      <c r="J85">
        <v>0</v>
      </c>
      <c r="K85">
        <v>2754</v>
      </c>
      <c r="L85">
        <v>2754</v>
      </c>
      <c r="M85" t="s">
        <v>9</v>
      </c>
      <c r="N85">
        <v>0</v>
      </c>
      <c r="O85" s="5">
        <v>2750</v>
      </c>
      <c r="P85" s="4">
        <v>2750</v>
      </c>
      <c r="Q85" t="s">
        <v>9</v>
      </c>
      <c r="R85">
        <v>0</v>
      </c>
    </row>
    <row r="86" spans="1:18" x14ac:dyDescent="0.3">
      <c r="A86" t="s">
        <v>363</v>
      </c>
      <c r="B86" t="s">
        <v>86</v>
      </c>
      <c r="C86">
        <v>1272</v>
      </c>
      <c r="D86">
        <v>53</v>
      </c>
      <c r="E86" s="1">
        <v>0.88263913999999999</v>
      </c>
      <c r="F86">
        <v>2756</v>
      </c>
      <c r="G86">
        <v>2754</v>
      </c>
      <c r="H86">
        <v>2752.4</v>
      </c>
      <c r="I86" t="s">
        <v>9</v>
      </c>
      <c r="J86">
        <v>0</v>
      </c>
      <c r="K86">
        <v>2756</v>
      </c>
      <c r="L86">
        <v>2753.2</v>
      </c>
      <c r="M86">
        <v>30.121238000000002</v>
      </c>
      <c r="N86">
        <v>1</v>
      </c>
      <c r="O86" s="5">
        <v>2752</v>
      </c>
      <c r="P86" s="4">
        <v>2750.8</v>
      </c>
      <c r="Q86" t="s">
        <v>9</v>
      </c>
      <c r="R86">
        <v>0</v>
      </c>
    </row>
    <row r="87" spans="1:18" x14ac:dyDescent="0.3">
      <c r="A87" t="s">
        <v>363</v>
      </c>
      <c r="B87" t="s">
        <v>87</v>
      </c>
      <c r="C87">
        <v>1272</v>
      </c>
      <c r="D87">
        <v>53</v>
      </c>
      <c r="E87" s="1">
        <v>0.88274050000000004</v>
      </c>
      <c r="F87">
        <v>2756</v>
      </c>
      <c r="G87">
        <v>2752</v>
      </c>
      <c r="H87">
        <v>2752</v>
      </c>
      <c r="I87" t="s">
        <v>9</v>
      </c>
      <c r="J87">
        <v>0</v>
      </c>
      <c r="K87">
        <v>2756</v>
      </c>
      <c r="L87">
        <v>2754.4</v>
      </c>
      <c r="M87">
        <v>12.717639999999999</v>
      </c>
      <c r="N87">
        <v>2</v>
      </c>
      <c r="O87" s="5">
        <v>2752</v>
      </c>
      <c r="P87" s="4">
        <v>2750.4</v>
      </c>
      <c r="Q87" t="s">
        <v>9</v>
      </c>
      <c r="R87">
        <v>0</v>
      </c>
    </row>
    <row r="88" spans="1:18" x14ac:dyDescent="0.3">
      <c r="A88" t="s">
        <v>363</v>
      </c>
      <c r="B88" t="s">
        <v>88</v>
      </c>
      <c r="C88">
        <v>1534</v>
      </c>
      <c r="D88">
        <v>59</v>
      </c>
      <c r="E88" s="1">
        <v>0.89178617999999998</v>
      </c>
      <c r="F88">
        <v>3422</v>
      </c>
      <c r="G88">
        <v>3418</v>
      </c>
      <c r="H88">
        <v>3417.2</v>
      </c>
      <c r="I88" t="s">
        <v>9</v>
      </c>
      <c r="J88">
        <v>0</v>
      </c>
      <c r="K88">
        <v>3420</v>
      </c>
      <c r="L88">
        <v>3419.2</v>
      </c>
      <c r="M88" t="s">
        <v>9</v>
      </c>
      <c r="N88">
        <v>0</v>
      </c>
      <c r="O88" s="5">
        <v>3416</v>
      </c>
      <c r="P88" s="4">
        <v>3415.6</v>
      </c>
      <c r="Q88" t="s">
        <v>9</v>
      </c>
      <c r="R88">
        <v>0</v>
      </c>
    </row>
    <row r="89" spans="1:18" x14ac:dyDescent="0.3">
      <c r="A89" t="s">
        <v>363</v>
      </c>
      <c r="B89" t="s">
        <v>89</v>
      </c>
      <c r="C89">
        <v>1534</v>
      </c>
      <c r="D89">
        <v>59</v>
      </c>
      <c r="E89" s="1">
        <v>0.89211934999999998</v>
      </c>
      <c r="F89">
        <v>3422</v>
      </c>
      <c r="G89">
        <v>3418</v>
      </c>
      <c r="H89">
        <v>3417.6</v>
      </c>
      <c r="I89" t="s">
        <v>9</v>
      </c>
      <c r="J89">
        <v>0</v>
      </c>
      <c r="K89">
        <v>3420</v>
      </c>
      <c r="L89">
        <v>3418.8</v>
      </c>
      <c r="M89" t="s">
        <v>9</v>
      </c>
      <c r="N89">
        <v>0</v>
      </c>
      <c r="O89" s="5">
        <v>3416</v>
      </c>
      <c r="P89" s="4">
        <v>3415.2</v>
      </c>
      <c r="Q89" t="s">
        <v>9</v>
      </c>
      <c r="R89">
        <v>0</v>
      </c>
    </row>
    <row r="90" spans="1:18" x14ac:dyDescent="0.3">
      <c r="A90" t="s">
        <v>363</v>
      </c>
      <c r="B90" t="s">
        <v>90</v>
      </c>
      <c r="C90">
        <v>1534</v>
      </c>
      <c r="D90">
        <v>59</v>
      </c>
      <c r="E90" s="1">
        <v>0.89218819000000005</v>
      </c>
      <c r="F90">
        <v>3422</v>
      </c>
      <c r="G90">
        <v>3418</v>
      </c>
      <c r="H90">
        <v>3418</v>
      </c>
      <c r="I90" t="s">
        <v>9</v>
      </c>
      <c r="J90">
        <v>0</v>
      </c>
      <c r="K90">
        <v>3420</v>
      </c>
      <c r="L90">
        <v>3418.8</v>
      </c>
      <c r="M90" t="s">
        <v>9</v>
      </c>
      <c r="N90">
        <v>0</v>
      </c>
      <c r="O90" s="5">
        <v>3416</v>
      </c>
      <c r="P90" s="4">
        <v>3415.6</v>
      </c>
      <c r="Q90" t="s">
        <v>9</v>
      </c>
      <c r="R90">
        <v>0</v>
      </c>
    </row>
    <row r="91" spans="1:18" x14ac:dyDescent="0.3">
      <c r="A91" t="s">
        <v>363</v>
      </c>
      <c r="B91" t="s">
        <v>91</v>
      </c>
      <c r="C91">
        <v>1534</v>
      </c>
      <c r="D91">
        <v>59</v>
      </c>
      <c r="E91" s="1">
        <v>0.89139862000000003</v>
      </c>
      <c r="F91">
        <v>3422</v>
      </c>
      <c r="G91">
        <v>3418</v>
      </c>
      <c r="H91">
        <v>3417.6</v>
      </c>
      <c r="I91" t="s">
        <v>9</v>
      </c>
      <c r="J91">
        <v>0</v>
      </c>
      <c r="K91">
        <v>3420</v>
      </c>
      <c r="L91">
        <v>3419.2</v>
      </c>
      <c r="M91" t="s">
        <v>9</v>
      </c>
      <c r="N91">
        <v>0</v>
      </c>
      <c r="O91" s="5">
        <v>3416</v>
      </c>
      <c r="P91" s="4">
        <v>3414.8</v>
      </c>
      <c r="Q91" t="s">
        <v>9</v>
      </c>
      <c r="R91">
        <v>0</v>
      </c>
    </row>
    <row r="92" spans="1:18" x14ac:dyDescent="0.3">
      <c r="A92" t="s">
        <v>363</v>
      </c>
      <c r="B92" t="s">
        <v>92</v>
      </c>
      <c r="C92">
        <v>1534</v>
      </c>
      <c r="D92">
        <v>59</v>
      </c>
      <c r="E92" s="1">
        <v>0.89227319000000005</v>
      </c>
      <c r="F92">
        <v>3422</v>
      </c>
      <c r="G92">
        <v>3422</v>
      </c>
      <c r="H92">
        <v>3418.4</v>
      </c>
      <c r="I92">
        <v>20.464316</v>
      </c>
      <c r="J92">
        <v>1</v>
      </c>
      <c r="K92">
        <v>3422</v>
      </c>
      <c r="L92">
        <v>3419.6</v>
      </c>
      <c r="M92">
        <v>23.094107999999999</v>
      </c>
      <c r="N92">
        <v>2</v>
      </c>
      <c r="O92" s="5">
        <v>3418</v>
      </c>
      <c r="P92" s="4">
        <v>3416</v>
      </c>
      <c r="Q92" t="s">
        <v>9</v>
      </c>
      <c r="R92">
        <v>0</v>
      </c>
    </row>
    <row r="93" spans="1:18" x14ac:dyDescent="0.3">
      <c r="A93" t="s">
        <v>363</v>
      </c>
      <c r="B93" t="s">
        <v>392</v>
      </c>
      <c r="C93">
        <v>1400</v>
      </c>
      <c r="D93">
        <v>56</v>
      </c>
      <c r="E93" s="1">
        <v>0.88737142999999996</v>
      </c>
      <c r="F93">
        <v>3080</v>
      </c>
      <c r="G93">
        <v>3076</v>
      </c>
      <c r="H93">
        <v>3076</v>
      </c>
      <c r="I93" t="s">
        <v>9</v>
      </c>
      <c r="J93">
        <v>0</v>
      </c>
      <c r="K93">
        <v>3078</v>
      </c>
      <c r="L93">
        <v>3076.8</v>
      </c>
      <c r="M93" t="s">
        <v>9</v>
      </c>
      <c r="N93">
        <v>0</v>
      </c>
      <c r="O93" s="5">
        <v>3074</v>
      </c>
      <c r="P93" s="4">
        <v>3072.8</v>
      </c>
      <c r="Q93" t="s">
        <v>9</v>
      </c>
      <c r="R93">
        <v>0</v>
      </c>
    </row>
    <row r="94" spans="1:18" x14ac:dyDescent="0.3">
      <c r="A94" t="s">
        <v>363</v>
      </c>
      <c r="B94" t="s">
        <v>393</v>
      </c>
      <c r="C94">
        <v>1400</v>
      </c>
      <c r="D94">
        <v>56</v>
      </c>
      <c r="E94" s="1">
        <v>0.88765203999999998</v>
      </c>
      <c r="F94">
        <v>3080</v>
      </c>
      <c r="G94">
        <v>3078</v>
      </c>
      <c r="H94">
        <v>3076.4</v>
      </c>
      <c r="I94" t="s">
        <v>9</v>
      </c>
      <c r="J94">
        <v>0</v>
      </c>
      <c r="K94">
        <v>3078</v>
      </c>
      <c r="L94">
        <v>3076.4</v>
      </c>
      <c r="M94" t="s">
        <v>9</v>
      </c>
      <c r="N94">
        <v>0</v>
      </c>
      <c r="O94" s="5">
        <v>3072</v>
      </c>
      <c r="P94" s="4">
        <v>3071.6</v>
      </c>
      <c r="Q94" t="s">
        <v>9</v>
      </c>
      <c r="R94">
        <v>0</v>
      </c>
    </row>
    <row r="95" spans="1:18" x14ac:dyDescent="0.3">
      <c r="A95" t="s">
        <v>363</v>
      </c>
      <c r="B95" t="s">
        <v>394</v>
      </c>
      <c r="C95">
        <v>1400</v>
      </c>
      <c r="D95">
        <v>56</v>
      </c>
      <c r="E95" s="1">
        <v>0.88767448999999998</v>
      </c>
      <c r="F95">
        <v>3080</v>
      </c>
      <c r="G95">
        <v>3076</v>
      </c>
      <c r="H95">
        <v>3076</v>
      </c>
      <c r="I95" t="s">
        <v>9</v>
      </c>
      <c r="J95">
        <v>0</v>
      </c>
      <c r="K95">
        <v>3080</v>
      </c>
      <c r="L95">
        <v>3078.4</v>
      </c>
      <c r="M95">
        <v>25.528366999999999</v>
      </c>
      <c r="N95">
        <v>1</v>
      </c>
      <c r="O95" s="5">
        <v>3074</v>
      </c>
      <c r="P95" s="4">
        <v>3072.8</v>
      </c>
      <c r="Q95" t="s">
        <v>9</v>
      </c>
      <c r="R95">
        <v>0</v>
      </c>
    </row>
    <row r="96" spans="1:18" x14ac:dyDescent="0.3">
      <c r="A96" t="s">
        <v>363</v>
      </c>
      <c r="B96" t="s">
        <v>395</v>
      </c>
      <c r="C96">
        <v>1400</v>
      </c>
      <c r="D96">
        <v>56</v>
      </c>
      <c r="E96" s="1">
        <v>0.88700204000000005</v>
      </c>
      <c r="F96">
        <v>3080</v>
      </c>
      <c r="G96">
        <v>3078</v>
      </c>
      <c r="H96">
        <v>3076.4</v>
      </c>
      <c r="I96" t="s">
        <v>9</v>
      </c>
      <c r="J96">
        <v>0</v>
      </c>
      <c r="K96">
        <v>3080</v>
      </c>
      <c r="L96">
        <v>3077.2</v>
      </c>
      <c r="M96">
        <v>37.501246999999999</v>
      </c>
      <c r="N96">
        <v>1</v>
      </c>
      <c r="O96" s="5">
        <v>3072</v>
      </c>
      <c r="P96" s="4">
        <v>3072</v>
      </c>
      <c r="Q96" t="s">
        <v>9</v>
      </c>
      <c r="R96">
        <v>0</v>
      </c>
    </row>
    <row r="97" spans="1:18" x14ac:dyDescent="0.3">
      <c r="A97" t="s">
        <v>363</v>
      </c>
      <c r="B97" t="s">
        <v>396</v>
      </c>
      <c r="C97">
        <v>1400</v>
      </c>
      <c r="D97">
        <v>56</v>
      </c>
      <c r="E97" s="1">
        <v>0.88744796000000004</v>
      </c>
      <c r="F97">
        <v>3080</v>
      </c>
      <c r="G97">
        <v>3080</v>
      </c>
      <c r="H97">
        <v>3076.8</v>
      </c>
      <c r="I97">
        <v>7.1089289999999998</v>
      </c>
      <c r="J97">
        <v>1</v>
      </c>
      <c r="K97">
        <v>3080</v>
      </c>
      <c r="L97">
        <v>3077.2</v>
      </c>
      <c r="M97">
        <v>35.386718000000002</v>
      </c>
      <c r="N97">
        <v>1</v>
      </c>
      <c r="O97" s="5">
        <v>3074</v>
      </c>
      <c r="P97" s="4">
        <v>3072.4</v>
      </c>
      <c r="Q97" t="s">
        <v>9</v>
      </c>
      <c r="R97">
        <v>0</v>
      </c>
    </row>
    <row r="98" spans="1:18" x14ac:dyDescent="0.3">
      <c r="A98" s="8" t="s">
        <v>350</v>
      </c>
      <c r="B98" s="8"/>
      <c r="C98" s="8"/>
      <c r="D98" s="8"/>
      <c r="E98" s="9"/>
      <c r="F98" s="8"/>
      <c r="G98" s="8">
        <f t="array" ref="G98">AVERAGE((F57:F97-G57:G97)/F57:F97)</f>
        <v>5.293460713895517E-4</v>
      </c>
      <c r="H98" s="8">
        <f t="array" ref="H98">AVERAGE((F57:F97-H57:H97)/F57:F97)</f>
        <v>8.6166575562223987E-4</v>
      </c>
      <c r="I98" s="8" t="s">
        <v>9</v>
      </c>
      <c r="J98" s="8">
        <f>SUM(J57:J97)</f>
        <v>68</v>
      </c>
      <c r="K98" s="8">
        <f t="array" ref="K98">AVERAGE((F57:F97-K57:K97)/F57:F97)</f>
        <v>2.0132481772161531E-4</v>
      </c>
      <c r="L98" s="8">
        <f t="array" ref="L98">AVERAGE((F57:F97-L57:L97)/F57:F97)</f>
        <v>4.3650180524949154E-4</v>
      </c>
      <c r="M98" s="8" t="s">
        <v>9</v>
      </c>
      <c r="N98" s="8">
        <f>SUM(N57:N97)</f>
        <v>111</v>
      </c>
      <c r="O98" s="10">
        <f t="array" ref="O98">AVERAGE((F57:F97-O57:O97)/F57:F97)</f>
        <v>1.1826429680795736E-3</v>
      </c>
      <c r="P98" s="10">
        <f t="array" ref="P98">AVERAGE((F57:F97-P57:P97)/F57:F97)</f>
        <v>1.648301477585325E-3</v>
      </c>
      <c r="Q98" s="8" t="s">
        <v>9</v>
      </c>
      <c r="R98" s="8">
        <f>SUM(R57:R97)</f>
        <v>33</v>
      </c>
    </row>
    <row r="99" spans="1:18" x14ac:dyDescent="0.3">
      <c r="A99" t="s">
        <v>364</v>
      </c>
      <c r="B99" t="s">
        <v>340</v>
      </c>
      <c r="C99">
        <v>2500</v>
      </c>
      <c r="D99">
        <v>1000</v>
      </c>
      <c r="E99" s="1">
        <v>9.9350720000000003E-2</v>
      </c>
      <c r="F99">
        <v>1153068</v>
      </c>
      <c r="G99">
        <v>1153026</v>
      </c>
      <c r="H99">
        <v>1152822.3999999999</v>
      </c>
      <c r="I99" t="s">
        <v>9</v>
      </c>
      <c r="J99">
        <v>0</v>
      </c>
      <c r="K99">
        <v>1153068</v>
      </c>
      <c r="L99">
        <v>1153068</v>
      </c>
      <c r="M99">
        <v>14.431065</v>
      </c>
      <c r="N99">
        <v>5</v>
      </c>
      <c r="O99" s="5">
        <v>1153068</v>
      </c>
      <c r="P99" s="4">
        <v>1153059.6000000001</v>
      </c>
      <c r="Q99">
        <v>24.90346701</v>
      </c>
      <c r="R99">
        <v>4</v>
      </c>
    </row>
    <row r="100" spans="1:18" x14ac:dyDescent="0.3">
      <c r="A100" t="s">
        <v>364</v>
      </c>
      <c r="B100" t="s">
        <v>341</v>
      </c>
      <c r="C100">
        <v>2500</v>
      </c>
      <c r="D100">
        <v>1000</v>
      </c>
      <c r="E100" s="1">
        <v>9.8924799999999993E-2</v>
      </c>
      <c r="F100">
        <v>1153936</v>
      </c>
      <c r="G100">
        <v>1153772</v>
      </c>
      <c r="H100">
        <v>1153691.2</v>
      </c>
      <c r="I100" t="s">
        <v>9</v>
      </c>
      <c r="J100">
        <v>0</v>
      </c>
      <c r="K100">
        <v>1153936</v>
      </c>
      <c r="L100">
        <v>1153936</v>
      </c>
      <c r="M100">
        <v>23.348047999999999</v>
      </c>
      <c r="N100">
        <v>5</v>
      </c>
      <c r="O100" s="5">
        <v>1153936</v>
      </c>
      <c r="P100" s="4">
        <v>1153922</v>
      </c>
      <c r="Q100">
        <v>23.651277440000001</v>
      </c>
      <c r="R100">
        <v>4</v>
      </c>
    </row>
    <row r="101" spans="1:18" x14ac:dyDescent="0.3">
      <c r="A101" t="s">
        <v>364</v>
      </c>
      <c r="B101" t="s">
        <v>342</v>
      </c>
      <c r="C101">
        <v>2500</v>
      </c>
      <c r="D101">
        <v>1000</v>
      </c>
      <c r="E101" s="1">
        <v>9.895168E-2</v>
      </c>
      <c r="F101">
        <v>1129310</v>
      </c>
      <c r="G101">
        <v>1129190</v>
      </c>
      <c r="H101">
        <v>1128895.6000000001</v>
      </c>
      <c r="I101" t="s">
        <v>9</v>
      </c>
      <c r="J101">
        <v>0</v>
      </c>
      <c r="K101">
        <v>1129310</v>
      </c>
      <c r="L101">
        <v>1129310</v>
      </c>
      <c r="M101">
        <v>16.577794000000001</v>
      </c>
      <c r="N101">
        <v>5</v>
      </c>
      <c r="O101" s="5">
        <v>1129310</v>
      </c>
      <c r="P101" s="4">
        <v>1129166.3999999999</v>
      </c>
      <c r="Q101">
        <v>54.962870639999998</v>
      </c>
      <c r="R101">
        <v>2</v>
      </c>
    </row>
    <row r="102" spans="1:18" x14ac:dyDescent="0.3">
      <c r="A102" t="s">
        <v>364</v>
      </c>
      <c r="B102" t="s">
        <v>343</v>
      </c>
      <c r="C102">
        <v>2500</v>
      </c>
      <c r="D102">
        <v>1000</v>
      </c>
      <c r="E102" s="1">
        <v>9.8824319999999993E-2</v>
      </c>
      <c r="F102">
        <v>1115538</v>
      </c>
      <c r="G102">
        <v>1115538</v>
      </c>
      <c r="H102">
        <v>1115538</v>
      </c>
      <c r="I102">
        <v>21.306159999999998</v>
      </c>
      <c r="J102">
        <v>5</v>
      </c>
      <c r="K102">
        <v>1115538</v>
      </c>
      <c r="L102">
        <v>1115538</v>
      </c>
      <c r="M102">
        <v>3.8977430000000002</v>
      </c>
      <c r="N102">
        <v>5</v>
      </c>
      <c r="O102" s="5">
        <v>1115538</v>
      </c>
      <c r="P102" s="4">
        <v>1115538</v>
      </c>
      <c r="Q102">
        <v>20.48395618</v>
      </c>
      <c r="R102">
        <v>5</v>
      </c>
    </row>
    <row r="103" spans="1:18" x14ac:dyDescent="0.3">
      <c r="A103" t="s">
        <v>364</v>
      </c>
      <c r="B103" t="s">
        <v>344</v>
      </c>
      <c r="C103">
        <v>2500</v>
      </c>
      <c r="D103">
        <v>1000</v>
      </c>
      <c r="E103" s="1">
        <v>9.8942080000000002E-2</v>
      </c>
      <c r="F103">
        <v>1148012</v>
      </c>
      <c r="G103">
        <v>1147840</v>
      </c>
      <c r="H103">
        <v>1147367.2</v>
      </c>
      <c r="I103" t="s">
        <v>9</v>
      </c>
      <c r="J103">
        <v>0</v>
      </c>
      <c r="K103">
        <v>1147840</v>
      </c>
      <c r="L103">
        <v>1147840</v>
      </c>
      <c r="M103" t="s">
        <v>9</v>
      </c>
      <c r="N103">
        <v>0</v>
      </c>
      <c r="O103" s="5">
        <v>1147840</v>
      </c>
      <c r="P103" s="4">
        <v>1147769.2</v>
      </c>
      <c r="Q103" t="s">
        <v>9</v>
      </c>
      <c r="R103">
        <v>0</v>
      </c>
    </row>
    <row r="104" spans="1:18" x14ac:dyDescent="0.3">
      <c r="A104" t="s">
        <v>364</v>
      </c>
      <c r="B104" t="s">
        <v>345</v>
      </c>
      <c r="C104">
        <v>2500</v>
      </c>
      <c r="D104">
        <v>1000</v>
      </c>
      <c r="E104" s="1">
        <v>9.8995840000000002E-2</v>
      </c>
      <c r="F104">
        <v>1144756</v>
      </c>
      <c r="G104">
        <v>1144756</v>
      </c>
      <c r="H104">
        <v>1144554</v>
      </c>
      <c r="I104">
        <v>47.395726000000003</v>
      </c>
      <c r="J104">
        <v>1</v>
      </c>
      <c r="K104">
        <v>1144756</v>
      </c>
      <c r="L104">
        <v>1144756</v>
      </c>
      <c r="M104">
        <v>4.916741</v>
      </c>
      <c r="N104">
        <v>5</v>
      </c>
      <c r="O104" s="5">
        <v>1144756</v>
      </c>
      <c r="P104" s="4">
        <v>1144756</v>
      </c>
      <c r="Q104">
        <v>19.764397750000001</v>
      </c>
      <c r="R104">
        <v>5</v>
      </c>
    </row>
    <row r="105" spans="1:18" x14ac:dyDescent="0.3">
      <c r="A105" t="s">
        <v>364</v>
      </c>
      <c r="B105" t="s">
        <v>346</v>
      </c>
      <c r="C105">
        <v>2500</v>
      </c>
      <c r="D105">
        <v>1000</v>
      </c>
      <c r="E105" s="1">
        <v>9.8785600000000001E-2</v>
      </c>
      <c r="F105">
        <v>1133572</v>
      </c>
      <c r="G105">
        <v>1133572</v>
      </c>
      <c r="H105">
        <v>1133504.3999999999</v>
      </c>
      <c r="I105">
        <v>38.294254000000002</v>
      </c>
      <c r="J105">
        <v>3</v>
      </c>
      <c r="K105">
        <v>1133572</v>
      </c>
      <c r="L105">
        <v>1133572</v>
      </c>
      <c r="M105">
        <v>7.343769</v>
      </c>
      <c r="N105">
        <v>5</v>
      </c>
      <c r="O105" s="5">
        <v>1133572</v>
      </c>
      <c r="P105" s="4">
        <v>1133572</v>
      </c>
      <c r="Q105">
        <v>20.745693979999999</v>
      </c>
      <c r="R105">
        <v>5</v>
      </c>
    </row>
    <row r="106" spans="1:18" x14ac:dyDescent="0.3">
      <c r="A106" t="s">
        <v>364</v>
      </c>
      <c r="B106" t="s">
        <v>347</v>
      </c>
      <c r="C106">
        <v>2500</v>
      </c>
      <c r="D106">
        <v>1000</v>
      </c>
      <c r="E106" s="1">
        <v>9.9198720000000004E-2</v>
      </c>
      <c r="F106">
        <v>1149064</v>
      </c>
      <c r="G106">
        <v>1149020</v>
      </c>
      <c r="H106">
        <v>1148724.3999999999</v>
      </c>
      <c r="I106" t="s">
        <v>9</v>
      </c>
      <c r="J106">
        <v>0</v>
      </c>
      <c r="K106">
        <v>1149064</v>
      </c>
      <c r="L106">
        <v>1149064</v>
      </c>
      <c r="M106">
        <v>8.212332</v>
      </c>
      <c r="N106">
        <v>5</v>
      </c>
      <c r="O106" s="5">
        <v>1149064</v>
      </c>
      <c r="P106" s="4">
        <v>1149024.8</v>
      </c>
      <c r="Q106">
        <v>29.60796393</v>
      </c>
      <c r="R106">
        <v>2</v>
      </c>
    </row>
    <row r="107" spans="1:18" x14ac:dyDescent="0.3">
      <c r="A107" t="s">
        <v>364</v>
      </c>
      <c r="B107" t="s">
        <v>348</v>
      </c>
      <c r="C107">
        <v>2500</v>
      </c>
      <c r="D107">
        <v>1000</v>
      </c>
      <c r="E107" s="1">
        <v>9.8904640000000002E-2</v>
      </c>
      <c r="F107">
        <v>1142762</v>
      </c>
      <c r="G107">
        <v>1142758</v>
      </c>
      <c r="H107">
        <v>1142543.2</v>
      </c>
      <c r="I107" t="s">
        <v>9</v>
      </c>
      <c r="J107">
        <v>0</v>
      </c>
      <c r="K107">
        <v>1142762</v>
      </c>
      <c r="L107">
        <v>1142762</v>
      </c>
      <c r="M107">
        <v>23.683713000000001</v>
      </c>
      <c r="N107">
        <v>5</v>
      </c>
      <c r="O107" s="5">
        <v>1142762</v>
      </c>
      <c r="P107" s="4">
        <v>1142757.6000000001</v>
      </c>
      <c r="Q107">
        <v>29.523034880000001</v>
      </c>
      <c r="R107">
        <v>4</v>
      </c>
    </row>
    <row r="108" spans="1:18" x14ac:dyDescent="0.3">
      <c r="A108" t="s">
        <v>364</v>
      </c>
      <c r="B108" t="s">
        <v>349</v>
      </c>
      <c r="C108">
        <v>2500</v>
      </c>
      <c r="D108">
        <v>1000</v>
      </c>
      <c r="E108" s="1">
        <v>9.9116800000000005E-2</v>
      </c>
      <c r="F108">
        <v>1138866</v>
      </c>
      <c r="G108">
        <v>1138858</v>
      </c>
      <c r="H108">
        <v>1138607.6000000001</v>
      </c>
      <c r="I108" t="s">
        <v>9</v>
      </c>
      <c r="J108">
        <v>0</v>
      </c>
      <c r="K108">
        <v>1138866</v>
      </c>
      <c r="L108">
        <v>1138866</v>
      </c>
      <c r="M108">
        <v>12.887658</v>
      </c>
      <c r="N108">
        <v>5</v>
      </c>
      <c r="O108" s="5">
        <v>1138866</v>
      </c>
      <c r="P108" s="4">
        <v>1138863.6000000001</v>
      </c>
      <c r="Q108">
        <v>28.144324619999999</v>
      </c>
      <c r="R108">
        <v>3</v>
      </c>
    </row>
    <row r="109" spans="1:18" x14ac:dyDescent="0.3">
      <c r="A109" s="8" t="s">
        <v>365</v>
      </c>
      <c r="B109" s="8"/>
      <c r="C109" s="8"/>
      <c r="D109" s="8"/>
      <c r="E109" s="9"/>
      <c r="F109" s="8"/>
      <c r="G109" s="8">
        <f t="array" ref="G109">AVERAGE((F99:F108-G99:G108)/F99:F108)</f>
        <v>4.8344748254018773E-5</v>
      </c>
      <c r="H109" s="8">
        <f t="array" ref="H109">AVERAGE((F99:F108-H99:H108)/F99:F108)</f>
        <v>2.3037513103146826E-4</v>
      </c>
      <c r="I109" s="8" t="s">
        <v>9</v>
      </c>
      <c r="J109" s="8">
        <f>SUM(J99:J108)</f>
        <v>9</v>
      </c>
      <c r="K109" s="8">
        <f t="array" ref="K109">AVERAGE((F99:F108-K99:K108)/F99:F108)</f>
        <v>1.4982421786531849E-5</v>
      </c>
      <c r="L109" s="8">
        <f t="array" ref="L109">AVERAGE((F99:F108-L99:L108)/F99:F108)</f>
        <v>1.4982421786531849E-5</v>
      </c>
      <c r="M109" s="8" t="s">
        <v>9</v>
      </c>
      <c r="N109" s="8">
        <f>SUM(N99:N108)</f>
        <v>45</v>
      </c>
      <c r="O109" s="13">
        <f t="array" ref="O109">AVERAGE((F99:F108-O99:O108)/F99:F108)</f>
        <v>1.4982421786531849E-5</v>
      </c>
      <c r="P109" s="12">
        <f t="array" ref="P109">AVERAGE((F99:F108-P99:P108)/F99:F108)</f>
        <v>3.9814304228935367E-5</v>
      </c>
      <c r="Q109" s="8" t="s">
        <v>9</v>
      </c>
      <c r="R109" s="8">
        <f>SUM(R99:R108)</f>
        <v>34</v>
      </c>
    </row>
    <row r="110" spans="1:18" x14ac:dyDescent="0.3">
      <c r="A110" t="s">
        <v>366</v>
      </c>
      <c r="B110" t="s">
        <v>93</v>
      </c>
      <c r="C110">
        <v>500</v>
      </c>
      <c r="D110">
        <v>50</v>
      </c>
      <c r="E110" s="1">
        <v>0.998</v>
      </c>
      <c r="F110">
        <v>19703.339909999999</v>
      </c>
      <c r="G110">
        <v>19703.339909999999</v>
      </c>
      <c r="H110">
        <v>19703.339909999999</v>
      </c>
      <c r="I110">
        <v>7.76E-4</v>
      </c>
      <c r="J110">
        <v>5</v>
      </c>
      <c r="K110">
        <v>19703.339909999999</v>
      </c>
      <c r="L110">
        <v>19703.339909999999</v>
      </c>
      <c r="M110">
        <v>2.5700000000000001E-4</v>
      </c>
      <c r="N110">
        <v>5</v>
      </c>
      <c r="O110" s="7">
        <v>19703.339909999999</v>
      </c>
      <c r="P110" s="7">
        <v>19703.339909999999</v>
      </c>
      <c r="Q110">
        <v>0.21899952419999999</v>
      </c>
      <c r="R110">
        <v>5</v>
      </c>
    </row>
    <row r="111" spans="1:18" x14ac:dyDescent="0.3">
      <c r="A111" t="s">
        <v>366</v>
      </c>
      <c r="B111" t="s">
        <v>94</v>
      </c>
      <c r="C111">
        <v>500</v>
      </c>
      <c r="D111">
        <v>50</v>
      </c>
      <c r="E111" s="1">
        <v>0.998</v>
      </c>
      <c r="F111">
        <v>19587.120180000002</v>
      </c>
      <c r="G111">
        <v>19587.120180000002</v>
      </c>
      <c r="H111">
        <v>19587.120180000002</v>
      </c>
      <c r="I111">
        <v>4.5800000000000002E-4</v>
      </c>
      <c r="J111">
        <v>5</v>
      </c>
      <c r="K111">
        <v>19587.120180000002</v>
      </c>
      <c r="L111">
        <v>19587.120180000002</v>
      </c>
      <c r="M111">
        <v>2.2000000000000001E-4</v>
      </c>
      <c r="N111">
        <v>5</v>
      </c>
      <c r="O111" s="7">
        <v>19587.120180000002</v>
      </c>
      <c r="P111" s="7">
        <v>19587.120180000002</v>
      </c>
      <c r="Q111">
        <v>0.27041276600000003</v>
      </c>
      <c r="R111">
        <v>5</v>
      </c>
    </row>
    <row r="112" spans="1:18" x14ac:dyDescent="0.3">
      <c r="A112" t="s">
        <v>366</v>
      </c>
      <c r="B112" t="s">
        <v>95</v>
      </c>
      <c r="C112">
        <v>500</v>
      </c>
      <c r="D112">
        <v>50</v>
      </c>
      <c r="E112" s="1">
        <v>0.998</v>
      </c>
      <c r="F112">
        <v>19360.22393</v>
      </c>
      <c r="G112">
        <v>19360.22393</v>
      </c>
      <c r="H112">
        <v>19360.22393</v>
      </c>
      <c r="I112">
        <v>6.9800000000000005E-4</v>
      </c>
      <c r="J112">
        <v>5</v>
      </c>
      <c r="K112">
        <v>19360.22393</v>
      </c>
      <c r="L112">
        <v>19360.22393</v>
      </c>
      <c r="M112">
        <v>3.7399999999999998E-4</v>
      </c>
      <c r="N112">
        <v>5</v>
      </c>
      <c r="O112" s="7">
        <v>19360.22393</v>
      </c>
      <c r="P112" s="7">
        <v>19360.22393</v>
      </c>
      <c r="Q112">
        <v>8.4366839799999996E-2</v>
      </c>
      <c r="R112">
        <v>5</v>
      </c>
    </row>
    <row r="113" spans="1:18" x14ac:dyDescent="0.3">
      <c r="A113" t="s">
        <v>366</v>
      </c>
      <c r="B113" t="s">
        <v>96</v>
      </c>
      <c r="C113">
        <v>500</v>
      </c>
      <c r="D113">
        <v>50</v>
      </c>
      <c r="E113" s="1">
        <v>0.998</v>
      </c>
      <c r="F113">
        <v>19366.698520000002</v>
      </c>
      <c r="G113">
        <v>19366.698520000002</v>
      </c>
      <c r="H113">
        <v>19366.698520000002</v>
      </c>
      <c r="I113">
        <v>3.4000000000000002E-4</v>
      </c>
      <c r="J113">
        <v>5</v>
      </c>
      <c r="K113">
        <v>19366.698520000002</v>
      </c>
      <c r="L113">
        <v>19366.698520000002</v>
      </c>
      <c r="M113">
        <v>3.6699999999999998E-4</v>
      </c>
      <c r="N113">
        <v>5</v>
      </c>
      <c r="O113" s="7">
        <v>19366.698520000002</v>
      </c>
      <c r="P113" s="7">
        <v>19366.698520000002</v>
      </c>
      <c r="Q113">
        <v>1.53532792E-2</v>
      </c>
      <c r="R113">
        <v>5</v>
      </c>
    </row>
    <row r="114" spans="1:18" x14ac:dyDescent="0.3">
      <c r="A114" t="s">
        <v>366</v>
      </c>
      <c r="B114" t="s">
        <v>97</v>
      </c>
      <c r="C114">
        <v>500</v>
      </c>
      <c r="D114">
        <v>50</v>
      </c>
      <c r="E114" s="1">
        <v>0.998</v>
      </c>
      <c r="F114">
        <v>19458.56466</v>
      </c>
      <c r="G114">
        <v>19458.56466</v>
      </c>
      <c r="H114">
        <v>19458.56466</v>
      </c>
      <c r="I114">
        <v>4.1300000000000001E-4</v>
      </c>
      <c r="J114">
        <v>5</v>
      </c>
      <c r="K114">
        <v>19458.56466</v>
      </c>
      <c r="L114">
        <v>19458.56466</v>
      </c>
      <c r="M114">
        <v>3.4699999999999998E-4</v>
      </c>
      <c r="N114">
        <v>5</v>
      </c>
      <c r="O114" s="7">
        <v>19458.56466</v>
      </c>
      <c r="P114" s="7">
        <v>19458.56466</v>
      </c>
      <c r="Q114">
        <v>1.2605194E-3</v>
      </c>
      <c r="R114">
        <v>5</v>
      </c>
    </row>
    <row r="115" spans="1:18" x14ac:dyDescent="0.3">
      <c r="A115" t="s">
        <v>366</v>
      </c>
      <c r="B115" t="s">
        <v>98</v>
      </c>
      <c r="C115">
        <v>500</v>
      </c>
      <c r="D115">
        <v>50</v>
      </c>
      <c r="E115" s="1">
        <v>0.998</v>
      </c>
      <c r="F115">
        <v>19422.146400000001</v>
      </c>
      <c r="G115">
        <v>19422.146400000001</v>
      </c>
      <c r="H115">
        <v>19422.146400000001</v>
      </c>
      <c r="I115">
        <v>8.5499999999999997E-4</v>
      </c>
      <c r="J115">
        <v>5</v>
      </c>
      <c r="K115">
        <v>19422.146400000001</v>
      </c>
      <c r="L115">
        <v>19422.146400000001</v>
      </c>
      <c r="M115">
        <v>4.5899999999999999E-4</v>
      </c>
      <c r="N115">
        <v>5</v>
      </c>
      <c r="O115" s="7">
        <v>19422.146400000001</v>
      </c>
      <c r="P115" s="7">
        <v>19422.146400000001</v>
      </c>
      <c r="Q115">
        <v>0.17242525480000001</v>
      </c>
      <c r="R115">
        <v>5</v>
      </c>
    </row>
    <row r="116" spans="1:18" x14ac:dyDescent="0.3">
      <c r="A116" t="s">
        <v>366</v>
      </c>
      <c r="B116" t="s">
        <v>99</v>
      </c>
      <c r="C116">
        <v>500</v>
      </c>
      <c r="D116">
        <v>50</v>
      </c>
      <c r="E116" s="1">
        <v>0.998</v>
      </c>
      <c r="F116">
        <v>19680.20477</v>
      </c>
      <c r="G116">
        <v>19680.20477</v>
      </c>
      <c r="H116">
        <v>19680.20477</v>
      </c>
      <c r="I116">
        <v>6.6200000000000005E-4</v>
      </c>
      <c r="J116">
        <v>5</v>
      </c>
      <c r="K116">
        <v>19680.20477</v>
      </c>
      <c r="L116">
        <v>19680.20477</v>
      </c>
      <c r="M116">
        <v>3.7300000000000001E-4</v>
      </c>
      <c r="N116">
        <v>5</v>
      </c>
      <c r="O116" s="7">
        <v>19680.20477</v>
      </c>
      <c r="P116" s="7">
        <v>19680.20477</v>
      </c>
      <c r="Q116">
        <v>1.3497819999999999E-3</v>
      </c>
      <c r="R116">
        <v>5</v>
      </c>
    </row>
    <row r="117" spans="1:18" x14ac:dyDescent="0.3">
      <c r="A117" t="s">
        <v>366</v>
      </c>
      <c r="B117" t="s">
        <v>100</v>
      </c>
      <c r="C117">
        <v>500</v>
      </c>
      <c r="D117">
        <v>50</v>
      </c>
      <c r="E117" s="1">
        <v>0.998</v>
      </c>
      <c r="F117">
        <v>19331.38841</v>
      </c>
      <c r="G117">
        <v>19331.38841</v>
      </c>
      <c r="H117">
        <v>19331.38841</v>
      </c>
      <c r="I117">
        <v>4.26E-4</v>
      </c>
      <c r="J117">
        <v>5</v>
      </c>
      <c r="K117">
        <v>19331.38841</v>
      </c>
      <c r="L117">
        <v>19331.38841</v>
      </c>
      <c r="M117">
        <v>2.24E-4</v>
      </c>
      <c r="N117">
        <v>5</v>
      </c>
      <c r="O117" s="7">
        <v>19331.38841</v>
      </c>
      <c r="P117" s="7">
        <v>19331.38841</v>
      </c>
      <c r="Q117">
        <v>1.324209E-3</v>
      </c>
      <c r="R117">
        <v>5</v>
      </c>
    </row>
    <row r="118" spans="1:18" x14ac:dyDescent="0.3">
      <c r="A118" t="s">
        <v>366</v>
      </c>
      <c r="B118" t="s">
        <v>101</v>
      </c>
      <c r="C118">
        <v>500</v>
      </c>
      <c r="D118">
        <v>50</v>
      </c>
      <c r="E118" s="1">
        <v>0.998</v>
      </c>
      <c r="F118">
        <v>19461.3946</v>
      </c>
      <c r="G118">
        <v>19461.3946</v>
      </c>
      <c r="H118">
        <v>19461.3946</v>
      </c>
      <c r="I118">
        <v>3.5100000000000002E-4</v>
      </c>
      <c r="J118">
        <v>5</v>
      </c>
      <c r="K118">
        <v>19461.3946</v>
      </c>
      <c r="L118">
        <v>19461.3946</v>
      </c>
      <c r="M118">
        <v>2.23E-4</v>
      </c>
      <c r="N118">
        <v>5</v>
      </c>
      <c r="O118" s="7">
        <v>19461.3946</v>
      </c>
      <c r="P118" s="7">
        <v>19461.3946</v>
      </c>
      <c r="Q118">
        <v>1.254839E-3</v>
      </c>
      <c r="R118">
        <v>5</v>
      </c>
    </row>
    <row r="119" spans="1:18" x14ac:dyDescent="0.3">
      <c r="A119" t="s">
        <v>366</v>
      </c>
      <c r="B119" t="s">
        <v>102</v>
      </c>
      <c r="C119">
        <v>500</v>
      </c>
      <c r="D119">
        <v>50</v>
      </c>
      <c r="E119" s="1">
        <v>0.998</v>
      </c>
      <c r="F119">
        <v>19477.325769999999</v>
      </c>
      <c r="G119">
        <v>19477.325769999999</v>
      </c>
      <c r="H119">
        <v>19477.325769999999</v>
      </c>
      <c r="I119">
        <v>4.6999999999999999E-4</v>
      </c>
      <c r="J119">
        <v>5</v>
      </c>
      <c r="K119">
        <v>19477.325769999999</v>
      </c>
      <c r="L119">
        <v>19477.325769999999</v>
      </c>
      <c r="M119">
        <v>4.0400000000000001E-4</v>
      </c>
      <c r="N119">
        <v>5</v>
      </c>
      <c r="O119" s="7">
        <v>19477.325769999999</v>
      </c>
      <c r="P119" s="7">
        <v>19477.325769999999</v>
      </c>
      <c r="Q119">
        <v>1.3323934E-3</v>
      </c>
      <c r="R119">
        <v>5</v>
      </c>
    </row>
    <row r="120" spans="1:18" x14ac:dyDescent="0.3">
      <c r="A120" t="s">
        <v>366</v>
      </c>
      <c r="B120" t="s">
        <v>103</v>
      </c>
      <c r="C120">
        <v>500</v>
      </c>
      <c r="D120">
        <v>50</v>
      </c>
      <c r="E120" s="1">
        <v>0.998</v>
      </c>
      <c r="F120">
        <v>19485.186969999999</v>
      </c>
      <c r="G120">
        <v>19485.186969999999</v>
      </c>
      <c r="H120">
        <v>19485.186969999999</v>
      </c>
      <c r="I120">
        <v>4.95E-4</v>
      </c>
      <c r="J120">
        <v>5</v>
      </c>
      <c r="K120">
        <v>19485.186969999999</v>
      </c>
      <c r="L120">
        <v>19485.186969999999</v>
      </c>
      <c r="M120">
        <v>3.2699999999999998E-4</v>
      </c>
      <c r="N120">
        <v>5</v>
      </c>
      <c r="O120" s="7">
        <v>19485.186969999999</v>
      </c>
      <c r="P120" s="7">
        <v>19485.186969999999</v>
      </c>
      <c r="Q120">
        <v>1.2826650000000001E-3</v>
      </c>
      <c r="R120">
        <v>5</v>
      </c>
    </row>
    <row r="121" spans="1:18" x14ac:dyDescent="0.3">
      <c r="A121" t="s">
        <v>366</v>
      </c>
      <c r="B121" t="s">
        <v>104</v>
      </c>
      <c r="C121">
        <v>500</v>
      </c>
      <c r="D121">
        <v>50</v>
      </c>
      <c r="E121" s="1">
        <v>0.998</v>
      </c>
      <c r="F121">
        <v>19604.843560000001</v>
      </c>
      <c r="G121">
        <v>19604.843560000001</v>
      </c>
      <c r="H121">
        <v>19604.843560000001</v>
      </c>
      <c r="I121">
        <v>3.1300000000000002E-4</v>
      </c>
      <c r="J121">
        <v>5</v>
      </c>
      <c r="K121">
        <v>19604.843560000001</v>
      </c>
      <c r="L121">
        <v>19604.843560000001</v>
      </c>
      <c r="M121">
        <v>1.66E-4</v>
      </c>
      <c r="N121">
        <v>5</v>
      </c>
      <c r="O121" s="7">
        <v>19604.843560000001</v>
      </c>
      <c r="P121" s="7">
        <v>19604.843560000001</v>
      </c>
      <c r="Q121">
        <v>1.2625824000000001E-3</v>
      </c>
      <c r="R121">
        <v>5</v>
      </c>
    </row>
    <row r="122" spans="1:18" x14ac:dyDescent="0.3">
      <c r="A122" t="s">
        <v>366</v>
      </c>
      <c r="B122" t="s">
        <v>105</v>
      </c>
      <c r="C122">
        <v>500</v>
      </c>
      <c r="D122">
        <v>50</v>
      </c>
      <c r="E122" s="1">
        <v>0.998</v>
      </c>
      <c r="F122">
        <v>19701.534769999998</v>
      </c>
      <c r="G122">
        <v>19701.534769999998</v>
      </c>
      <c r="H122">
        <v>19701.534769999998</v>
      </c>
      <c r="I122">
        <v>4.5800000000000002E-4</v>
      </c>
      <c r="J122">
        <v>5</v>
      </c>
      <c r="K122">
        <v>19701.534769999998</v>
      </c>
      <c r="L122">
        <v>19701.534769999998</v>
      </c>
      <c r="M122">
        <v>2.7700000000000001E-4</v>
      </c>
      <c r="N122">
        <v>5</v>
      </c>
      <c r="O122" s="7">
        <v>19701.534769999998</v>
      </c>
      <c r="P122" s="7">
        <v>19701.534769999998</v>
      </c>
      <c r="Q122">
        <v>0.17204385520000001</v>
      </c>
      <c r="R122">
        <v>5</v>
      </c>
    </row>
    <row r="123" spans="1:18" x14ac:dyDescent="0.3">
      <c r="A123" t="s">
        <v>366</v>
      </c>
      <c r="B123" t="s">
        <v>106</v>
      </c>
      <c r="C123">
        <v>500</v>
      </c>
      <c r="D123">
        <v>50</v>
      </c>
      <c r="E123" s="1">
        <v>0.998</v>
      </c>
      <c r="F123">
        <v>19547.206849999999</v>
      </c>
      <c r="G123">
        <v>19547.206849999999</v>
      </c>
      <c r="H123">
        <v>19547.206849999999</v>
      </c>
      <c r="I123">
        <v>4.8500000000000003E-4</v>
      </c>
      <c r="J123">
        <v>5</v>
      </c>
      <c r="K123">
        <v>19547.206849999999</v>
      </c>
      <c r="L123">
        <v>19547.206849999999</v>
      </c>
      <c r="M123">
        <v>3.2600000000000001E-4</v>
      </c>
      <c r="N123">
        <v>5</v>
      </c>
      <c r="O123" s="7">
        <v>19547.206849999999</v>
      </c>
      <c r="P123" s="7">
        <v>19547.206849999999</v>
      </c>
      <c r="Q123">
        <v>1.3229088000000001E-3</v>
      </c>
      <c r="R123">
        <v>5</v>
      </c>
    </row>
    <row r="124" spans="1:18" x14ac:dyDescent="0.3">
      <c r="A124" t="s">
        <v>366</v>
      </c>
      <c r="B124" t="s">
        <v>107</v>
      </c>
      <c r="C124">
        <v>500</v>
      </c>
      <c r="D124">
        <v>50</v>
      </c>
      <c r="E124" s="1">
        <v>0.998</v>
      </c>
      <c r="F124">
        <v>19596.468379999998</v>
      </c>
      <c r="G124">
        <v>19596.468379999998</v>
      </c>
      <c r="H124">
        <v>19596.468379999998</v>
      </c>
      <c r="I124">
        <v>3.7100000000000002E-4</v>
      </c>
      <c r="J124">
        <v>5</v>
      </c>
      <c r="K124">
        <v>19596.468379999998</v>
      </c>
      <c r="L124">
        <v>19596.468379999998</v>
      </c>
      <c r="M124">
        <v>5.8600000000000004E-4</v>
      </c>
      <c r="N124">
        <v>5</v>
      </c>
      <c r="O124" s="7">
        <v>19596.468379999998</v>
      </c>
      <c r="P124" s="7">
        <v>19596.468379999998</v>
      </c>
      <c r="Q124">
        <v>1.2299564000000001E-3</v>
      </c>
      <c r="R124">
        <v>5</v>
      </c>
    </row>
    <row r="125" spans="1:18" x14ac:dyDescent="0.3">
      <c r="A125" t="s">
        <v>366</v>
      </c>
      <c r="B125" t="s">
        <v>108</v>
      </c>
      <c r="C125">
        <v>500</v>
      </c>
      <c r="D125">
        <v>50</v>
      </c>
      <c r="E125" s="1">
        <v>0.998</v>
      </c>
      <c r="F125">
        <v>19602.62199</v>
      </c>
      <c r="G125">
        <v>19602.62199</v>
      </c>
      <c r="H125">
        <v>19602.62199</v>
      </c>
      <c r="I125">
        <v>4.2200000000000001E-4</v>
      </c>
      <c r="J125">
        <v>5</v>
      </c>
      <c r="K125">
        <v>19602.62199</v>
      </c>
      <c r="L125">
        <v>19602.62199</v>
      </c>
      <c r="M125">
        <v>2.9300000000000002E-4</v>
      </c>
      <c r="N125">
        <v>5</v>
      </c>
      <c r="O125" s="7">
        <v>19602.62199</v>
      </c>
      <c r="P125" s="7">
        <v>19602.62199</v>
      </c>
      <c r="Q125">
        <v>1.2917613999999999E-3</v>
      </c>
      <c r="R125">
        <v>5</v>
      </c>
    </row>
    <row r="126" spans="1:18" x14ac:dyDescent="0.3">
      <c r="A126" t="s">
        <v>366</v>
      </c>
      <c r="B126" t="s">
        <v>109</v>
      </c>
      <c r="C126">
        <v>500</v>
      </c>
      <c r="D126">
        <v>50</v>
      </c>
      <c r="E126" s="1">
        <v>0.998</v>
      </c>
      <c r="F126">
        <v>19421.539079999999</v>
      </c>
      <c r="G126">
        <v>19421.539079999999</v>
      </c>
      <c r="H126">
        <v>19421.539079999999</v>
      </c>
      <c r="I126">
        <v>4.06E-4</v>
      </c>
      <c r="J126">
        <v>5</v>
      </c>
      <c r="K126">
        <v>19421.539079999999</v>
      </c>
      <c r="L126">
        <v>19421.539079999999</v>
      </c>
      <c r="M126">
        <v>3.7399999999999998E-4</v>
      </c>
      <c r="N126">
        <v>5</v>
      </c>
      <c r="O126" s="7">
        <v>19421.539079999999</v>
      </c>
      <c r="P126" s="7">
        <v>19421.539079999999</v>
      </c>
      <c r="Q126">
        <v>1.2791414000000001E-3</v>
      </c>
      <c r="R126">
        <v>5</v>
      </c>
    </row>
    <row r="127" spans="1:18" x14ac:dyDescent="0.3">
      <c r="A127" t="s">
        <v>366</v>
      </c>
      <c r="B127" t="s">
        <v>110</v>
      </c>
      <c r="C127">
        <v>500</v>
      </c>
      <c r="D127">
        <v>50</v>
      </c>
      <c r="E127" s="1">
        <v>0.998</v>
      </c>
      <c r="F127">
        <v>19534.30358</v>
      </c>
      <c r="G127">
        <v>19534.30358</v>
      </c>
      <c r="H127">
        <v>19534.30358</v>
      </c>
      <c r="I127">
        <v>5.6999999999999998E-4</v>
      </c>
      <c r="J127">
        <v>5</v>
      </c>
      <c r="K127">
        <v>19534.30358</v>
      </c>
      <c r="L127">
        <v>19534.30358</v>
      </c>
      <c r="M127">
        <v>2.4600000000000002E-4</v>
      </c>
      <c r="N127">
        <v>5</v>
      </c>
      <c r="O127" s="7">
        <v>19534.30358</v>
      </c>
      <c r="P127" s="7">
        <v>19534.30358</v>
      </c>
      <c r="Q127">
        <v>0.21752561100000001</v>
      </c>
      <c r="R127">
        <v>5</v>
      </c>
    </row>
    <row r="128" spans="1:18" x14ac:dyDescent="0.3">
      <c r="A128" t="s">
        <v>366</v>
      </c>
      <c r="B128" t="s">
        <v>111</v>
      </c>
      <c r="C128">
        <v>500</v>
      </c>
      <c r="D128">
        <v>50</v>
      </c>
      <c r="E128" s="1">
        <v>0.998</v>
      </c>
      <c r="F128">
        <v>19487.320530000001</v>
      </c>
      <c r="G128">
        <v>19487.320530000001</v>
      </c>
      <c r="H128">
        <v>19487.320530000001</v>
      </c>
      <c r="I128">
        <v>1.567E-3</v>
      </c>
      <c r="J128">
        <v>5</v>
      </c>
      <c r="K128">
        <v>19487.320530000001</v>
      </c>
      <c r="L128">
        <v>19487.320530000001</v>
      </c>
      <c r="M128">
        <v>4.0499999999999998E-4</v>
      </c>
      <c r="N128">
        <v>5</v>
      </c>
      <c r="O128" s="7">
        <v>19487.320530000001</v>
      </c>
      <c r="P128" s="7">
        <v>19487.320530000001</v>
      </c>
      <c r="Q128">
        <v>0.20552890679999999</v>
      </c>
      <c r="R128">
        <v>5</v>
      </c>
    </row>
    <row r="129" spans="1:18" x14ac:dyDescent="0.3">
      <c r="A129" t="s">
        <v>366</v>
      </c>
      <c r="B129" t="s">
        <v>112</v>
      </c>
      <c r="C129">
        <v>500</v>
      </c>
      <c r="D129">
        <v>50</v>
      </c>
      <c r="E129" s="1">
        <v>0.998</v>
      </c>
      <c r="F129">
        <v>19221.628779999999</v>
      </c>
      <c r="G129">
        <v>19221.628779999999</v>
      </c>
      <c r="H129">
        <v>19221.628779999999</v>
      </c>
      <c r="I129">
        <v>3.9199999999999999E-4</v>
      </c>
      <c r="J129">
        <v>5</v>
      </c>
      <c r="K129">
        <v>19221.628779999999</v>
      </c>
      <c r="L129">
        <v>19221.628779999999</v>
      </c>
      <c r="M129">
        <v>3.4200000000000002E-4</v>
      </c>
      <c r="N129">
        <v>5</v>
      </c>
      <c r="O129" s="7">
        <v>19221.628779999999</v>
      </c>
      <c r="P129" s="7">
        <v>19221.628779999999</v>
      </c>
      <c r="Q129">
        <v>1.3460522E-3</v>
      </c>
      <c r="R129">
        <v>5</v>
      </c>
    </row>
    <row r="130" spans="1:18" x14ac:dyDescent="0.3">
      <c r="A130" s="8" t="s">
        <v>367</v>
      </c>
      <c r="B130" s="8"/>
      <c r="C130" s="8">
        <v>500</v>
      </c>
      <c r="D130" s="8"/>
      <c r="E130" s="9"/>
      <c r="F130" s="8"/>
      <c r="G130" s="8">
        <v>0</v>
      </c>
      <c r="H130" s="8">
        <v>0</v>
      </c>
      <c r="I130" s="8">
        <f>AVERAGE(I110:I129)</f>
        <v>5.4640000000000005E-4</v>
      </c>
      <c r="J130" s="8">
        <f>SUM(J110:J129)</f>
        <v>100</v>
      </c>
      <c r="K130" s="8">
        <v>0</v>
      </c>
      <c r="L130" s="8">
        <v>0</v>
      </c>
      <c r="M130" s="8">
        <f>AVERAGE(M110:M129)</f>
        <v>3.2949999999999999E-4</v>
      </c>
      <c r="N130" s="8">
        <f>SUM(N110:N129)</f>
        <v>100</v>
      </c>
      <c r="O130" s="11">
        <v>0</v>
      </c>
      <c r="P130" s="11">
        <v>0</v>
      </c>
      <c r="Q130" s="8">
        <f>AVERAGE(Q110:Q129)</f>
        <v>6.8609642369999987E-2</v>
      </c>
      <c r="R130" s="8">
        <f>SUM(R110:R129)</f>
        <v>100</v>
      </c>
    </row>
    <row r="131" spans="1:18" x14ac:dyDescent="0.3">
      <c r="A131" t="s">
        <v>368</v>
      </c>
      <c r="B131" t="s">
        <v>113</v>
      </c>
      <c r="C131">
        <v>2000</v>
      </c>
      <c r="D131">
        <v>100</v>
      </c>
      <c r="E131" s="1">
        <v>3.24225E-2</v>
      </c>
      <c r="F131" s="2">
        <v>2556303.3172800001</v>
      </c>
      <c r="G131">
        <v>2556303.3172800001</v>
      </c>
      <c r="H131">
        <v>2556303.3172799898</v>
      </c>
      <c r="I131">
        <v>4.0899999999999999E-3</v>
      </c>
      <c r="J131">
        <v>5</v>
      </c>
      <c r="K131">
        <v>2556303.3172799898</v>
      </c>
      <c r="L131">
        <v>2556303.3172799898</v>
      </c>
      <c r="M131">
        <v>1.5250000000000001E-3</v>
      </c>
      <c r="N131">
        <v>5</v>
      </c>
      <c r="O131">
        <v>2556303.3172799898</v>
      </c>
      <c r="P131">
        <v>2556303.3172799898</v>
      </c>
      <c r="Q131">
        <v>3.1763440000000002E-3</v>
      </c>
      <c r="R131">
        <v>5</v>
      </c>
    </row>
    <row r="132" spans="1:18" x14ac:dyDescent="0.3">
      <c r="A132" t="s">
        <v>368</v>
      </c>
      <c r="B132" t="s">
        <v>114</v>
      </c>
      <c r="C132">
        <v>2000</v>
      </c>
      <c r="D132">
        <v>200</v>
      </c>
      <c r="E132" s="1">
        <v>3.24225E-2</v>
      </c>
      <c r="F132" s="2">
        <v>9494735.3414900005</v>
      </c>
      <c r="G132">
        <v>9494735.3414900098</v>
      </c>
      <c r="H132">
        <v>9494735.3414900005</v>
      </c>
      <c r="I132">
        <v>1.786E-3</v>
      </c>
      <c r="J132">
        <v>5</v>
      </c>
      <c r="K132">
        <v>9494735.3414900098</v>
      </c>
      <c r="L132">
        <v>9494735.3414900098</v>
      </c>
      <c r="M132">
        <v>1.013E-3</v>
      </c>
      <c r="N132">
        <v>5</v>
      </c>
      <c r="O132">
        <v>9494735.3414900098</v>
      </c>
      <c r="P132">
        <v>9494735.3414900098</v>
      </c>
      <c r="Q132">
        <v>6.3182207999999997E-3</v>
      </c>
      <c r="R132">
        <v>5</v>
      </c>
    </row>
    <row r="133" spans="1:18" x14ac:dyDescent="0.3">
      <c r="A133" t="s">
        <v>368</v>
      </c>
      <c r="B133" t="s">
        <v>115</v>
      </c>
      <c r="C133">
        <v>2000</v>
      </c>
      <c r="D133">
        <v>300</v>
      </c>
      <c r="E133" s="1">
        <v>3.24225E-2</v>
      </c>
      <c r="F133" s="2">
        <v>15187740.87438</v>
      </c>
      <c r="G133">
        <v>15187740.874379899</v>
      </c>
      <c r="H133">
        <v>15187740.874379899</v>
      </c>
      <c r="I133">
        <v>3.973E-3</v>
      </c>
      <c r="J133">
        <v>5</v>
      </c>
      <c r="K133">
        <v>15187740.87438</v>
      </c>
      <c r="L133">
        <v>15187740.87438</v>
      </c>
      <c r="M133">
        <v>1.642E-3</v>
      </c>
      <c r="N133">
        <v>5</v>
      </c>
      <c r="O133">
        <v>15187740.87438</v>
      </c>
      <c r="P133">
        <v>15187740.87438</v>
      </c>
      <c r="Q133">
        <v>9.0956575999999994E-3</v>
      </c>
      <c r="R133">
        <v>5</v>
      </c>
    </row>
    <row r="134" spans="1:18" x14ac:dyDescent="0.3">
      <c r="A134" t="s">
        <v>368</v>
      </c>
      <c r="B134" t="s">
        <v>116</v>
      </c>
      <c r="C134">
        <v>2000</v>
      </c>
      <c r="D134">
        <v>400</v>
      </c>
      <c r="E134" s="1">
        <v>3.24225E-2</v>
      </c>
      <c r="F134" s="2">
        <v>19725322.192839999</v>
      </c>
      <c r="G134">
        <v>19725322.192839999</v>
      </c>
      <c r="H134">
        <v>19725322.192839999</v>
      </c>
      <c r="I134">
        <v>3.9199999999999999E-3</v>
      </c>
      <c r="J134">
        <v>5</v>
      </c>
      <c r="K134">
        <v>19725322.192839999</v>
      </c>
      <c r="L134">
        <v>19725322.192839999</v>
      </c>
      <c r="M134">
        <v>2.6310000000000001E-3</v>
      </c>
      <c r="N134">
        <v>5</v>
      </c>
      <c r="O134">
        <v>19725322.192839999</v>
      </c>
      <c r="P134">
        <v>19725322.192839999</v>
      </c>
      <c r="Q134">
        <v>1.13659886E-2</v>
      </c>
      <c r="R134">
        <v>5</v>
      </c>
    </row>
    <row r="135" spans="1:18" x14ac:dyDescent="0.3">
      <c r="A135" t="s">
        <v>368</v>
      </c>
      <c r="B135" t="s">
        <v>117</v>
      </c>
      <c r="C135">
        <v>2000</v>
      </c>
      <c r="D135">
        <v>500</v>
      </c>
      <c r="E135" s="1">
        <v>3.24225E-2</v>
      </c>
      <c r="F135" s="2">
        <v>23805405.245379999</v>
      </c>
      <c r="G135">
        <v>23805405.245379899</v>
      </c>
      <c r="H135">
        <v>23805405.245379999</v>
      </c>
      <c r="I135">
        <v>3.7420000000000001E-3</v>
      </c>
      <c r="J135">
        <v>5</v>
      </c>
      <c r="K135">
        <v>23805405.245379999</v>
      </c>
      <c r="L135">
        <v>23805405.245379999</v>
      </c>
      <c r="M135">
        <v>2E-3</v>
      </c>
      <c r="N135">
        <v>5</v>
      </c>
      <c r="O135">
        <v>23805405.245379999</v>
      </c>
      <c r="P135">
        <v>23805405.245379999</v>
      </c>
      <c r="Q135">
        <v>1.3295181600000001E-2</v>
      </c>
      <c r="R135">
        <v>5</v>
      </c>
    </row>
    <row r="136" spans="1:18" x14ac:dyDescent="0.3">
      <c r="A136" t="s">
        <v>368</v>
      </c>
      <c r="B136" t="s">
        <v>118</v>
      </c>
      <c r="C136">
        <v>3000</v>
      </c>
      <c r="D136">
        <v>100</v>
      </c>
      <c r="E136" s="1">
        <v>3.1032219999999999E-2</v>
      </c>
      <c r="F136" s="2">
        <v>2598096.7581699998</v>
      </c>
      <c r="G136">
        <v>2598096.7581699998</v>
      </c>
      <c r="H136">
        <v>2598096.7581699998</v>
      </c>
      <c r="I136">
        <v>3.754159</v>
      </c>
      <c r="J136">
        <v>5</v>
      </c>
      <c r="K136">
        <v>2598096.7581699998</v>
      </c>
      <c r="L136">
        <v>2598096.7581699998</v>
      </c>
      <c r="M136">
        <v>3.2910000000000001E-3</v>
      </c>
      <c r="N136">
        <v>5</v>
      </c>
      <c r="O136">
        <v>2598096.7581699998</v>
      </c>
      <c r="P136">
        <v>2598096.7581699998</v>
      </c>
      <c r="Q136">
        <v>1.267045851</v>
      </c>
      <c r="R136">
        <v>5</v>
      </c>
    </row>
    <row r="137" spans="1:18" x14ac:dyDescent="0.3">
      <c r="A137" t="s">
        <v>368</v>
      </c>
      <c r="B137" t="s">
        <v>119</v>
      </c>
      <c r="C137">
        <v>3000</v>
      </c>
      <c r="D137">
        <v>200</v>
      </c>
      <c r="E137" s="1">
        <v>3.1032219999999999E-2</v>
      </c>
      <c r="F137" s="2">
        <v>10099263.94359</v>
      </c>
      <c r="G137">
        <v>10099263.94359</v>
      </c>
      <c r="H137">
        <v>10099263.9435899</v>
      </c>
      <c r="I137">
        <v>8.4910000000000003E-3</v>
      </c>
      <c r="J137">
        <v>5</v>
      </c>
      <c r="K137">
        <v>10099263.9435899</v>
      </c>
      <c r="L137">
        <v>10099263.94359</v>
      </c>
      <c r="M137">
        <v>2.6489999999999999E-3</v>
      </c>
      <c r="N137">
        <v>5</v>
      </c>
      <c r="O137">
        <v>10099263.94359</v>
      </c>
      <c r="P137">
        <v>10099263.94359</v>
      </c>
      <c r="Q137">
        <v>7.1882242000000001E-3</v>
      </c>
      <c r="R137">
        <v>5</v>
      </c>
    </row>
    <row r="138" spans="1:18" x14ac:dyDescent="0.3">
      <c r="A138" t="s">
        <v>368</v>
      </c>
      <c r="B138" t="s">
        <v>120</v>
      </c>
      <c r="C138">
        <v>3000</v>
      </c>
      <c r="D138">
        <v>300</v>
      </c>
      <c r="E138" s="1">
        <v>3.1032219999999999E-2</v>
      </c>
      <c r="F138" s="2">
        <v>21260902.726679999</v>
      </c>
      <c r="G138">
        <v>21260902.726679999</v>
      </c>
      <c r="H138">
        <v>21260902.726679999</v>
      </c>
      <c r="I138">
        <v>3.9110000000000004E-3</v>
      </c>
      <c r="J138">
        <v>5</v>
      </c>
      <c r="K138">
        <v>21260902.726679899</v>
      </c>
      <c r="L138">
        <v>21260902.726679999</v>
      </c>
      <c r="M138">
        <v>2.1150000000000001E-3</v>
      </c>
      <c r="N138">
        <v>5</v>
      </c>
      <c r="O138">
        <v>21260902.726679999</v>
      </c>
      <c r="P138">
        <v>21260902.726679999</v>
      </c>
      <c r="Q138">
        <v>9.5131083999999994E-3</v>
      </c>
      <c r="R138">
        <v>5</v>
      </c>
    </row>
    <row r="139" spans="1:18" x14ac:dyDescent="0.3">
      <c r="A139" t="s">
        <v>368</v>
      </c>
      <c r="B139" t="s">
        <v>121</v>
      </c>
      <c r="C139">
        <v>3000</v>
      </c>
      <c r="D139">
        <v>400</v>
      </c>
      <c r="E139" s="1">
        <v>3.1032219999999999E-2</v>
      </c>
      <c r="F139" s="2">
        <v>30495483.292709999</v>
      </c>
      <c r="G139">
        <v>30495483.292709898</v>
      </c>
      <c r="H139">
        <v>30495483.292709898</v>
      </c>
      <c r="I139">
        <v>6.5339999999999999E-3</v>
      </c>
      <c r="J139">
        <v>5</v>
      </c>
      <c r="K139">
        <v>30495483.292709898</v>
      </c>
      <c r="L139">
        <v>30495483.292709898</v>
      </c>
      <c r="M139">
        <v>2.8300000000000001E-3</v>
      </c>
      <c r="N139">
        <v>5</v>
      </c>
      <c r="O139">
        <v>30495483.292709898</v>
      </c>
      <c r="P139">
        <v>30495483.292709898</v>
      </c>
      <c r="Q139">
        <v>1.50931556E-2</v>
      </c>
      <c r="R139">
        <v>5</v>
      </c>
    </row>
    <row r="140" spans="1:18" x14ac:dyDescent="0.3">
      <c r="A140" t="s">
        <v>368</v>
      </c>
      <c r="B140" t="s">
        <v>122</v>
      </c>
      <c r="C140">
        <v>3000</v>
      </c>
      <c r="D140">
        <v>500</v>
      </c>
      <c r="E140" s="1">
        <v>3.1032219999999999E-2</v>
      </c>
      <c r="F140" s="2">
        <v>38032901.950429998</v>
      </c>
      <c r="G140">
        <v>38032901.950429797</v>
      </c>
      <c r="H140">
        <v>38032901.950429901</v>
      </c>
      <c r="I140">
        <v>6.9389999999999999E-3</v>
      </c>
      <c r="J140">
        <v>5</v>
      </c>
      <c r="K140">
        <v>38032901.950429901</v>
      </c>
      <c r="L140">
        <v>38032901.950429901</v>
      </c>
      <c r="M140">
        <v>4.5389999999999996E-3</v>
      </c>
      <c r="N140">
        <v>5</v>
      </c>
      <c r="O140">
        <v>38032901.950429901</v>
      </c>
      <c r="P140">
        <v>38032901.950429901</v>
      </c>
      <c r="Q140">
        <v>1.81520274E-2</v>
      </c>
      <c r="R140">
        <v>5</v>
      </c>
    </row>
    <row r="141" spans="1:18" x14ac:dyDescent="0.3">
      <c r="A141" t="s">
        <v>368</v>
      </c>
      <c r="B141" t="s">
        <v>123</v>
      </c>
      <c r="C141">
        <v>5000</v>
      </c>
      <c r="D141">
        <v>100</v>
      </c>
      <c r="E141" s="1">
        <v>2.930408E-2</v>
      </c>
      <c r="F141" s="2">
        <v>2638633.79544</v>
      </c>
      <c r="G141">
        <v>2638633.7954399898</v>
      </c>
      <c r="H141">
        <v>2638633.79544</v>
      </c>
      <c r="I141">
        <v>0.76002700000000001</v>
      </c>
      <c r="J141">
        <v>5</v>
      </c>
      <c r="K141">
        <v>2638633.7954399898</v>
      </c>
      <c r="L141">
        <v>2638633.79544</v>
      </c>
      <c r="M141">
        <v>4.117E-3</v>
      </c>
      <c r="N141">
        <v>5</v>
      </c>
      <c r="O141">
        <v>2638633.79544</v>
      </c>
      <c r="P141">
        <v>2638633.79544</v>
      </c>
      <c r="Q141">
        <v>6.3253447000000004E-2</v>
      </c>
      <c r="R141">
        <v>5</v>
      </c>
    </row>
    <row r="142" spans="1:18" x14ac:dyDescent="0.3">
      <c r="A142" t="s">
        <v>368</v>
      </c>
      <c r="B142" t="s">
        <v>124</v>
      </c>
      <c r="C142">
        <v>5000</v>
      </c>
      <c r="D142">
        <v>200</v>
      </c>
      <c r="E142" s="1">
        <v>2.930408E-2</v>
      </c>
      <c r="F142" s="2">
        <v>10338565.46539</v>
      </c>
      <c r="G142">
        <v>10338565.4653899</v>
      </c>
      <c r="H142">
        <v>10338565.46539</v>
      </c>
      <c r="I142">
        <v>9.4219999999999998E-3</v>
      </c>
      <c r="J142">
        <v>5</v>
      </c>
      <c r="K142">
        <v>10338565.46539</v>
      </c>
      <c r="L142">
        <v>10338565.4653899</v>
      </c>
      <c r="M142">
        <v>5.2560000000000003E-3</v>
      </c>
      <c r="N142">
        <v>5</v>
      </c>
      <c r="O142">
        <v>10338565.4653899</v>
      </c>
      <c r="P142">
        <v>10338565.4653899</v>
      </c>
      <c r="Q142">
        <v>9.9897623999999994E-3</v>
      </c>
      <c r="R142">
        <v>5</v>
      </c>
    </row>
    <row r="143" spans="1:18" x14ac:dyDescent="0.3">
      <c r="A143" t="s">
        <v>368</v>
      </c>
      <c r="B143" t="s">
        <v>125</v>
      </c>
      <c r="C143">
        <v>5000</v>
      </c>
      <c r="D143">
        <v>300</v>
      </c>
      <c r="E143" s="1">
        <v>2.930408E-2</v>
      </c>
      <c r="F143" s="2">
        <v>22840863.487539999</v>
      </c>
      <c r="G143">
        <v>22840863.487539999</v>
      </c>
      <c r="H143">
        <v>22840863.487539899</v>
      </c>
      <c r="I143">
        <v>9.8980000000000005E-3</v>
      </c>
      <c r="J143">
        <v>5</v>
      </c>
      <c r="K143">
        <v>22840863.487539999</v>
      </c>
      <c r="L143">
        <v>22840863.487539999</v>
      </c>
      <c r="M143">
        <v>5.4450000000000002E-3</v>
      </c>
      <c r="N143">
        <v>5</v>
      </c>
      <c r="O143">
        <v>22840863.487539999</v>
      </c>
      <c r="P143">
        <v>22840863.487539999</v>
      </c>
      <c r="Q143">
        <v>1.37147876E-2</v>
      </c>
      <c r="R143">
        <v>5</v>
      </c>
    </row>
    <row r="144" spans="1:18" x14ac:dyDescent="0.3">
      <c r="A144" t="s">
        <v>368</v>
      </c>
      <c r="B144" t="s">
        <v>126</v>
      </c>
      <c r="C144">
        <v>5000</v>
      </c>
      <c r="D144">
        <v>400</v>
      </c>
      <c r="E144" s="1">
        <v>2.930408E-2</v>
      </c>
      <c r="F144" s="2">
        <v>39458662.298770003</v>
      </c>
      <c r="G144">
        <v>39458662.298770003</v>
      </c>
      <c r="H144">
        <v>39458662.298770003</v>
      </c>
      <c r="I144">
        <v>8.4189999999999994E-3</v>
      </c>
      <c r="J144">
        <v>5</v>
      </c>
      <c r="K144">
        <v>39458662.298770003</v>
      </c>
      <c r="L144">
        <v>39458662.298770003</v>
      </c>
      <c r="M144">
        <v>4.4209999999999996E-3</v>
      </c>
      <c r="N144">
        <v>5</v>
      </c>
      <c r="O144">
        <v>39458662.298770003</v>
      </c>
      <c r="P144">
        <v>39458662.298770003</v>
      </c>
      <c r="Q144">
        <v>4.3201544000000001E-2</v>
      </c>
      <c r="R144">
        <v>5</v>
      </c>
    </row>
    <row r="145" spans="1:18" x14ac:dyDescent="0.3">
      <c r="A145" t="s">
        <v>368</v>
      </c>
      <c r="B145" t="s">
        <v>127</v>
      </c>
      <c r="C145">
        <v>5000</v>
      </c>
      <c r="D145">
        <v>500</v>
      </c>
      <c r="E145" s="1">
        <v>2.930408E-2</v>
      </c>
      <c r="F145" s="2">
        <v>55943547.515639998</v>
      </c>
      <c r="G145">
        <v>55943547.515639998</v>
      </c>
      <c r="H145">
        <v>55943547.515639998</v>
      </c>
      <c r="I145">
        <v>8.4779999999999994E-3</v>
      </c>
      <c r="J145">
        <v>5</v>
      </c>
      <c r="K145">
        <v>55943547.515640102</v>
      </c>
      <c r="L145">
        <v>55943547.515639998</v>
      </c>
      <c r="M145">
        <v>4.1619999999999999E-3</v>
      </c>
      <c r="N145">
        <v>5</v>
      </c>
      <c r="O145">
        <v>55943547.515639998</v>
      </c>
      <c r="P145">
        <v>55943547.515639998</v>
      </c>
      <c r="Q145">
        <v>2.7106597E-2</v>
      </c>
      <c r="R145">
        <v>5</v>
      </c>
    </row>
    <row r="146" spans="1:18" x14ac:dyDescent="0.3">
      <c r="A146" t="s">
        <v>368</v>
      </c>
      <c r="B146" t="s">
        <v>128</v>
      </c>
      <c r="C146">
        <v>6000</v>
      </c>
      <c r="D146">
        <v>100</v>
      </c>
      <c r="E146" s="1">
        <v>3.1367609999999997E-2</v>
      </c>
      <c r="F146" s="2">
        <v>2640537.36674</v>
      </c>
      <c r="G146">
        <v>2640537.36674</v>
      </c>
      <c r="H146">
        <v>2640537.36674</v>
      </c>
      <c r="I146">
        <v>8.9589999999999999E-3</v>
      </c>
      <c r="J146">
        <v>5</v>
      </c>
      <c r="K146">
        <v>2640537.36674</v>
      </c>
      <c r="L146">
        <v>2640537.36674</v>
      </c>
      <c r="M146">
        <v>5.0980000000000001E-3</v>
      </c>
      <c r="N146">
        <v>5</v>
      </c>
      <c r="O146">
        <v>2640537.36674</v>
      </c>
      <c r="P146">
        <v>2640537.36674</v>
      </c>
      <c r="Q146">
        <v>5.0174275999999999E-3</v>
      </c>
      <c r="R146">
        <v>5</v>
      </c>
    </row>
    <row r="147" spans="1:18" x14ac:dyDescent="0.3">
      <c r="A147" t="s">
        <v>368</v>
      </c>
      <c r="B147" t="s">
        <v>129</v>
      </c>
      <c r="C147">
        <v>6000</v>
      </c>
      <c r="D147">
        <v>200</v>
      </c>
      <c r="E147" s="1">
        <v>3.1367609999999997E-2</v>
      </c>
      <c r="F147" s="2">
        <v>10399062.54644</v>
      </c>
      <c r="G147">
        <v>10399062.546439899</v>
      </c>
      <c r="H147">
        <v>10399062.546439899</v>
      </c>
      <c r="I147">
        <v>1.2395E-2</v>
      </c>
      <c r="J147">
        <v>5</v>
      </c>
      <c r="K147">
        <v>10399062.546439899</v>
      </c>
      <c r="L147">
        <v>10399062.546439899</v>
      </c>
      <c r="M147">
        <v>7.6160000000000004E-3</v>
      </c>
      <c r="N147">
        <v>5</v>
      </c>
      <c r="O147">
        <v>10399062.546439899</v>
      </c>
      <c r="P147">
        <v>10399062.546439899</v>
      </c>
      <c r="Q147">
        <v>1.1103284600000001E-2</v>
      </c>
      <c r="R147">
        <v>5</v>
      </c>
    </row>
    <row r="148" spans="1:18" x14ac:dyDescent="0.3">
      <c r="A148" t="s">
        <v>368</v>
      </c>
      <c r="B148" t="s">
        <v>130</v>
      </c>
      <c r="C148">
        <v>6000</v>
      </c>
      <c r="D148">
        <v>300</v>
      </c>
      <c r="E148" s="1">
        <v>3.1367609999999997E-2</v>
      </c>
      <c r="F148" s="2">
        <v>23074932.414009999</v>
      </c>
      <c r="G148">
        <v>23074932.414009999</v>
      </c>
      <c r="H148">
        <v>23074932.414009999</v>
      </c>
      <c r="I148">
        <v>1.9127000000000002E-2</v>
      </c>
      <c r="J148">
        <v>5</v>
      </c>
      <c r="K148">
        <v>23074932.414009999</v>
      </c>
      <c r="L148">
        <v>23074932.414009899</v>
      </c>
      <c r="M148">
        <v>9.3620000000000005E-3</v>
      </c>
      <c r="N148">
        <v>5</v>
      </c>
      <c r="O148">
        <v>23074932.414009899</v>
      </c>
      <c r="P148">
        <v>23074932.414009899</v>
      </c>
      <c r="Q148">
        <v>1.7652983600000002E-2</v>
      </c>
      <c r="R148">
        <v>5</v>
      </c>
    </row>
    <row r="149" spans="1:18" x14ac:dyDescent="0.3">
      <c r="A149" t="s">
        <v>368</v>
      </c>
      <c r="B149" t="s">
        <v>131</v>
      </c>
      <c r="C149">
        <v>6000</v>
      </c>
      <c r="D149">
        <v>400</v>
      </c>
      <c r="E149" s="1">
        <v>3.1367609999999997E-2</v>
      </c>
      <c r="F149" s="2">
        <v>40469681.932109997</v>
      </c>
      <c r="G149">
        <v>40469681.932109997</v>
      </c>
      <c r="H149">
        <v>40469681.9321099</v>
      </c>
      <c r="I149">
        <v>1.5044999999999999E-2</v>
      </c>
      <c r="J149">
        <v>5</v>
      </c>
      <c r="K149">
        <v>40469681.9321099</v>
      </c>
      <c r="L149">
        <v>40469681.9321099</v>
      </c>
      <c r="M149">
        <v>8.286E-3</v>
      </c>
      <c r="N149">
        <v>5</v>
      </c>
      <c r="O149">
        <v>40469681.9321099</v>
      </c>
      <c r="P149">
        <v>40469681.9321099</v>
      </c>
      <c r="Q149">
        <v>2.4700964799999999E-2</v>
      </c>
      <c r="R149">
        <v>5</v>
      </c>
    </row>
    <row r="150" spans="1:18" x14ac:dyDescent="0.3">
      <c r="A150" t="s">
        <v>368</v>
      </c>
      <c r="B150" t="s">
        <v>132</v>
      </c>
      <c r="C150">
        <v>6000</v>
      </c>
      <c r="D150">
        <v>500</v>
      </c>
      <c r="E150" s="1">
        <v>3.1367609999999997E-2</v>
      </c>
      <c r="F150" s="2">
        <v>62332519.393469997</v>
      </c>
      <c r="G150">
        <v>62332519.3934699</v>
      </c>
      <c r="H150">
        <v>62332519.393469997</v>
      </c>
      <c r="I150">
        <v>1.2834E-2</v>
      </c>
      <c r="J150">
        <v>5</v>
      </c>
      <c r="K150">
        <v>62332519.393469997</v>
      </c>
      <c r="L150">
        <v>62332519.393470101</v>
      </c>
      <c r="M150">
        <v>7.2550000000000002E-3</v>
      </c>
      <c r="N150">
        <v>5</v>
      </c>
      <c r="O150">
        <v>62332519.393470101</v>
      </c>
      <c r="P150">
        <v>62332519.393470101</v>
      </c>
      <c r="Q150">
        <v>3.2126480800000003E-2</v>
      </c>
      <c r="R150">
        <v>5</v>
      </c>
    </row>
    <row r="151" spans="1:18" x14ac:dyDescent="0.3">
      <c r="A151" s="8" t="s">
        <v>369</v>
      </c>
      <c r="B151" s="8"/>
      <c r="C151" s="8" t="s">
        <v>356</v>
      </c>
      <c r="D151" s="8"/>
      <c r="E151" s="9"/>
      <c r="F151" s="8"/>
      <c r="G151" s="8">
        <v>0</v>
      </c>
      <c r="H151" s="8">
        <v>0</v>
      </c>
      <c r="I151" s="8">
        <f>AVERAGE(I131:I150)</f>
        <v>0.23310744999999994</v>
      </c>
      <c r="J151" s="8">
        <f>SUM(J131:J150)</f>
        <v>100</v>
      </c>
      <c r="K151" s="8">
        <v>0</v>
      </c>
      <c r="L151" s="8">
        <v>0</v>
      </c>
      <c r="M151" s="8">
        <f>AVERAGE(M131:M150)</f>
        <v>4.2626499999999998E-3</v>
      </c>
      <c r="N151" s="8">
        <f>SUM(N131:N150)</f>
        <v>100</v>
      </c>
      <c r="O151" s="11">
        <v>0</v>
      </c>
      <c r="P151" s="11">
        <v>0</v>
      </c>
      <c r="Q151" s="8">
        <f>AVERAGE(Q131:Q150)</f>
        <v>8.0405551929999999E-2</v>
      </c>
      <c r="R151" s="8">
        <f>SUM(R131:R150)</f>
        <v>100</v>
      </c>
    </row>
    <row r="152" spans="1:18" x14ac:dyDescent="0.3">
      <c r="A152" t="s">
        <v>370</v>
      </c>
      <c r="B152" t="s">
        <v>133</v>
      </c>
      <c r="C152">
        <v>2000</v>
      </c>
      <c r="D152">
        <v>200</v>
      </c>
      <c r="E152" s="1">
        <v>0.90848899999999999</v>
      </c>
      <c r="F152">
        <v>114271</v>
      </c>
      <c r="G152">
        <v>114271</v>
      </c>
      <c r="H152">
        <v>114263.4</v>
      </c>
      <c r="I152">
        <v>25.772213000000001</v>
      </c>
      <c r="J152">
        <v>4</v>
      </c>
      <c r="K152">
        <v>114271</v>
      </c>
      <c r="L152">
        <v>114271</v>
      </c>
      <c r="M152">
        <v>2.4567060000000001</v>
      </c>
      <c r="N152">
        <v>5</v>
      </c>
      <c r="O152" s="5">
        <v>114271</v>
      </c>
      <c r="P152" s="5">
        <v>114271</v>
      </c>
      <c r="Q152">
        <v>27.6655689</v>
      </c>
      <c r="R152">
        <v>5</v>
      </c>
    </row>
    <row r="153" spans="1:18" x14ac:dyDescent="0.3">
      <c r="A153" t="s">
        <v>370</v>
      </c>
      <c r="B153" t="s">
        <v>134</v>
      </c>
      <c r="C153">
        <v>2000</v>
      </c>
      <c r="D153">
        <v>200</v>
      </c>
      <c r="E153" s="1">
        <v>0.90864800000000001</v>
      </c>
      <c r="F153">
        <v>114327</v>
      </c>
      <c r="G153">
        <v>114327</v>
      </c>
      <c r="H153">
        <v>114327</v>
      </c>
      <c r="I153">
        <v>14.269489999999999</v>
      </c>
      <c r="J153">
        <v>5</v>
      </c>
      <c r="K153">
        <v>114327</v>
      </c>
      <c r="L153">
        <v>114327</v>
      </c>
      <c r="M153">
        <v>0.30547200000000002</v>
      </c>
      <c r="N153">
        <v>5</v>
      </c>
      <c r="O153" s="5">
        <v>114327</v>
      </c>
      <c r="P153" s="5">
        <v>114327</v>
      </c>
      <c r="Q153">
        <v>2.8591224660000001</v>
      </c>
      <c r="R153">
        <v>5</v>
      </c>
    </row>
    <row r="154" spans="1:18" x14ac:dyDescent="0.3">
      <c r="A154" t="s">
        <v>370</v>
      </c>
      <c r="B154" t="s">
        <v>135</v>
      </c>
      <c r="C154">
        <v>2000</v>
      </c>
      <c r="D154">
        <v>200</v>
      </c>
      <c r="E154" s="1">
        <v>0.90876800000000002</v>
      </c>
      <c r="F154">
        <v>114195</v>
      </c>
      <c r="G154">
        <v>114195</v>
      </c>
      <c r="H154">
        <v>114182</v>
      </c>
      <c r="I154">
        <v>18.754549999999998</v>
      </c>
      <c r="J154">
        <v>2</v>
      </c>
      <c r="K154">
        <v>114195</v>
      </c>
      <c r="L154">
        <v>114195</v>
      </c>
      <c r="M154">
        <v>9.6901639999999993</v>
      </c>
      <c r="N154">
        <v>5</v>
      </c>
      <c r="O154" s="5">
        <v>114195</v>
      </c>
      <c r="P154" s="5">
        <v>114195</v>
      </c>
      <c r="Q154">
        <v>21.08152978</v>
      </c>
      <c r="R154">
        <v>5</v>
      </c>
    </row>
    <row r="155" spans="1:18" x14ac:dyDescent="0.3">
      <c r="A155" t="s">
        <v>370</v>
      </c>
      <c r="B155" t="s">
        <v>136</v>
      </c>
      <c r="C155">
        <v>2000</v>
      </c>
      <c r="D155">
        <v>200</v>
      </c>
      <c r="E155" s="1">
        <v>0.90828149999999996</v>
      </c>
      <c r="F155">
        <v>114093</v>
      </c>
      <c r="G155">
        <v>114093</v>
      </c>
      <c r="H155">
        <v>114081</v>
      </c>
      <c r="I155">
        <v>26.937777000000001</v>
      </c>
      <c r="J155">
        <v>1</v>
      </c>
      <c r="K155">
        <v>114093</v>
      </c>
      <c r="L155">
        <v>114092.6</v>
      </c>
      <c r="M155">
        <v>17.37172</v>
      </c>
      <c r="N155">
        <v>4</v>
      </c>
      <c r="O155" s="5">
        <v>114093</v>
      </c>
      <c r="P155" s="5">
        <v>114091</v>
      </c>
      <c r="Q155">
        <v>25.671891550000002</v>
      </c>
      <c r="R155">
        <v>2</v>
      </c>
    </row>
    <row r="156" spans="1:18" x14ac:dyDescent="0.3">
      <c r="A156" t="s">
        <v>370</v>
      </c>
      <c r="B156" t="s">
        <v>137</v>
      </c>
      <c r="C156">
        <v>2000</v>
      </c>
      <c r="D156">
        <v>200</v>
      </c>
      <c r="E156" s="1">
        <v>0.908609</v>
      </c>
      <c r="F156">
        <v>114196</v>
      </c>
      <c r="G156">
        <v>114196</v>
      </c>
      <c r="H156">
        <v>114156.8</v>
      </c>
      <c r="I156">
        <v>6.626379</v>
      </c>
      <c r="J156">
        <v>1</v>
      </c>
      <c r="K156">
        <v>114196</v>
      </c>
      <c r="L156">
        <v>114196</v>
      </c>
      <c r="M156">
        <v>10.483649</v>
      </c>
      <c r="N156">
        <v>5</v>
      </c>
      <c r="O156" s="5">
        <v>114196</v>
      </c>
      <c r="P156" s="5">
        <v>114196</v>
      </c>
      <c r="Q156">
        <v>16.513559319999999</v>
      </c>
      <c r="R156">
        <v>5</v>
      </c>
    </row>
    <row r="157" spans="1:18" x14ac:dyDescent="0.3">
      <c r="A157" t="s">
        <v>370</v>
      </c>
      <c r="B157" t="s">
        <v>138</v>
      </c>
      <c r="C157">
        <v>2000</v>
      </c>
      <c r="D157">
        <v>200</v>
      </c>
      <c r="E157" s="1">
        <v>0.90871150000000001</v>
      </c>
      <c r="F157">
        <v>114265</v>
      </c>
      <c r="G157">
        <v>114265</v>
      </c>
      <c r="H157">
        <v>114259</v>
      </c>
      <c r="I157">
        <v>16.384771000000001</v>
      </c>
      <c r="J157">
        <v>3</v>
      </c>
      <c r="K157">
        <v>114265</v>
      </c>
      <c r="L157">
        <v>114265</v>
      </c>
      <c r="M157">
        <v>3.7724190000000002</v>
      </c>
      <c r="N157">
        <v>5</v>
      </c>
      <c r="O157" s="5">
        <v>114265</v>
      </c>
      <c r="P157" s="5">
        <v>114265</v>
      </c>
      <c r="Q157">
        <v>6.009679717</v>
      </c>
      <c r="R157">
        <v>5</v>
      </c>
    </row>
    <row r="158" spans="1:18" x14ac:dyDescent="0.3">
      <c r="A158" t="s">
        <v>370</v>
      </c>
      <c r="B158" t="s">
        <v>139</v>
      </c>
      <c r="C158">
        <v>2000</v>
      </c>
      <c r="D158">
        <v>200</v>
      </c>
      <c r="E158" s="1">
        <v>0.90888449999999998</v>
      </c>
      <c r="F158">
        <v>114361</v>
      </c>
      <c r="G158">
        <v>114361</v>
      </c>
      <c r="H158">
        <v>114361</v>
      </c>
      <c r="I158">
        <v>7.268357</v>
      </c>
      <c r="J158">
        <v>5</v>
      </c>
      <c r="K158">
        <v>114361</v>
      </c>
      <c r="L158">
        <v>114361</v>
      </c>
      <c r="M158">
        <v>0.74393799999999999</v>
      </c>
      <c r="N158">
        <v>5</v>
      </c>
      <c r="O158" s="5">
        <v>114361</v>
      </c>
      <c r="P158" s="5">
        <v>114361</v>
      </c>
      <c r="Q158">
        <v>7.035461937</v>
      </c>
      <c r="R158">
        <v>5</v>
      </c>
    </row>
    <row r="159" spans="1:18" x14ac:dyDescent="0.3">
      <c r="A159" t="s">
        <v>370</v>
      </c>
      <c r="B159" t="s">
        <v>140</v>
      </c>
      <c r="C159">
        <v>2000</v>
      </c>
      <c r="D159">
        <v>200</v>
      </c>
      <c r="E159" s="1">
        <v>0.90873400000000004</v>
      </c>
      <c r="F159">
        <v>114327</v>
      </c>
      <c r="G159">
        <v>114327</v>
      </c>
      <c r="H159">
        <v>114327</v>
      </c>
      <c r="I159">
        <v>9.0682379999999991</v>
      </c>
      <c r="J159">
        <v>5</v>
      </c>
      <c r="K159">
        <v>114327</v>
      </c>
      <c r="L159">
        <v>114327</v>
      </c>
      <c r="M159">
        <v>1.253371</v>
      </c>
      <c r="N159">
        <v>5</v>
      </c>
      <c r="O159" s="5">
        <v>114327</v>
      </c>
      <c r="P159" s="5">
        <v>114327</v>
      </c>
      <c r="Q159">
        <v>4.1212550800000001</v>
      </c>
      <c r="R159">
        <v>5</v>
      </c>
    </row>
    <row r="160" spans="1:18" x14ac:dyDescent="0.3">
      <c r="A160" t="s">
        <v>370</v>
      </c>
      <c r="B160" t="s">
        <v>141</v>
      </c>
      <c r="C160">
        <v>2000</v>
      </c>
      <c r="D160">
        <v>200</v>
      </c>
      <c r="E160" s="1">
        <v>0.90870150000000005</v>
      </c>
      <c r="F160">
        <v>114199</v>
      </c>
      <c r="G160">
        <v>114199</v>
      </c>
      <c r="H160">
        <v>114197.2</v>
      </c>
      <c r="I160">
        <v>37.755505999999997</v>
      </c>
      <c r="J160">
        <v>2</v>
      </c>
      <c r="K160">
        <v>114199</v>
      </c>
      <c r="L160">
        <v>114199</v>
      </c>
      <c r="M160">
        <v>3.2009509999999999</v>
      </c>
      <c r="N160">
        <v>5</v>
      </c>
      <c r="O160" s="5">
        <v>114199</v>
      </c>
      <c r="P160" s="4">
        <v>114198.2</v>
      </c>
      <c r="Q160">
        <v>4.5928005660000002</v>
      </c>
      <c r="R160">
        <v>2</v>
      </c>
    </row>
    <row r="161" spans="1:18" x14ac:dyDescent="0.3">
      <c r="A161" t="s">
        <v>370</v>
      </c>
      <c r="B161" t="s">
        <v>142</v>
      </c>
      <c r="C161">
        <v>2000</v>
      </c>
      <c r="D161">
        <v>200</v>
      </c>
      <c r="E161" s="1">
        <v>0.90871449999999998</v>
      </c>
      <c r="F161">
        <v>114229</v>
      </c>
      <c r="G161">
        <v>114229</v>
      </c>
      <c r="H161">
        <v>114221.2</v>
      </c>
      <c r="I161">
        <v>1.1705950000000001</v>
      </c>
      <c r="J161">
        <v>2</v>
      </c>
      <c r="K161">
        <v>114229</v>
      </c>
      <c r="L161">
        <v>114229</v>
      </c>
      <c r="M161">
        <v>2.3771409999999999</v>
      </c>
      <c r="N161">
        <v>5</v>
      </c>
      <c r="O161" s="5">
        <v>114229</v>
      </c>
      <c r="P161" s="5">
        <v>114229</v>
      </c>
      <c r="Q161">
        <v>17.606128210000001</v>
      </c>
      <c r="R161">
        <v>5</v>
      </c>
    </row>
    <row r="162" spans="1:18" x14ac:dyDescent="0.3">
      <c r="A162" t="s">
        <v>370</v>
      </c>
      <c r="B162" t="s">
        <v>143</v>
      </c>
      <c r="C162">
        <v>2000</v>
      </c>
      <c r="D162">
        <v>200</v>
      </c>
      <c r="E162" s="1">
        <v>0.908663</v>
      </c>
      <c r="F162">
        <v>114214</v>
      </c>
      <c r="G162">
        <v>114214</v>
      </c>
      <c r="H162">
        <v>114175.2</v>
      </c>
      <c r="I162">
        <v>31.784997000000001</v>
      </c>
      <c r="J162">
        <v>1</v>
      </c>
      <c r="K162">
        <v>114214</v>
      </c>
      <c r="L162">
        <v>114214</v>
      </c>
      <c r="M162">
        <v>9.0736810000000006</v>
      </c>
      <c r="N162">
        <v>5</v>
      </c>
      <c r="O162" s="5">
        <v>114214</v>
      </c>
      <c r="P162" s="4">
        <v>114213.6</v>
      </c>
      <c r="Q162">
        <v>34.161625229999999</v>
      </c>
      <c r="R162">
        <v>3</v>
      </c>
    </row>
    <row r="163" spans="1:18" x14ac:dyDescent="0.3">
      <c r="A163" t="s">
        <v>370</v>
      </c>
      <c r="B163" t="s">
        <v>144</v>
      </c>
      <c r="C163">
        <v>2000</v>
      </c>
      <c r="D163">
        <v>200</v>
      </c>
      <c r="E163" s="1">
        <v>0.90891699999999997</v>
      </c>
      <c r="F163">
        <v>114214</v>
      </c>
      <c r="G163">
        <v>114214</v>
      </c>
      <c r="H163">
        <v>114187</v>
      </c>
      <c r="I163">
        <v>46.436576000000002</v>
      </c>
      <c r="J163">
        <v>2</v>
      </c>
      <c r="K163">
        <v>114214</v>
      </c>
      <c r="L163">
        <v>114214</v>
      </c>
      <c r="M163">
        <v>8.8302370000000003</v>
      </c>
      <c r="N163">
        <v>5</v>
      </c>
      <c r="O163" s="5">
        <v>114214</v>
      </c>
      <c r="P163" s="4">
        <v>114211.4</v>
      </c>
      <c r="Q163">
        <v>33.21312606</v>
      </c>
      <c r="R163">
        <v>4</v>
      </c>
    </row>
    <row r="164" spans="1:18" x14ac:dyDescent="0.3">
      <c r="A164" t="s">
        <v>370</v>
      </c>
      <c r="B164" t="s">
        <v>145</v>
      </c>
      <c r="C164">
        <v>2000</v>
      </c>
      <c r="D164">
        <v>200</v>
      </c>
      <c r="E164" s="1">
        <v>0.90849800000000003</v>
      </c>
      <c r="F164">
        <v>114233</v>
      </c>
      <c r="G164">
        <v>114233</v>
      </c>
      <c r="H164">
        <v>114227.8</v>
      </c>
      <c r="I164">
        <v>47.369478999999998</v>
      </c>
      <c r="J164">
        <v>3</v>
      </c>
      <c r="K164">
        <v>114233</v>
      </c>
      <c r="L164">
        <v>114233</v>
      </c>
      <c r="M164">
        <v>6.1996419999999999</v>
      </c>
      <c r="N164">
        <v>5</v>
      </c>
      <c r="O164" s="5">
        <v>114233</v>
      </c>
      <c r="P164" s="5">
        <v>114233</v>
      </c>
      <c r="Q164">
        <v>25.948820229999999</v>
      </c>
      <c r="R164">
        <v>5</v>
      </c>
    </row>
    <row r="165" spans="1:18" x14ac:dyDescent="0.3">
      <c r="A165" t="s">
        <v>370</v>
      </c>
      <c r="B165" t="s">
        <v>146</v>
      </c>
      <c r="C165">
        <v>2000</v>
      </c>
      <c r="D165">
        <v>200</v>
      </c>
      <c r="E165" s="1">
        <v>0.90844499999999995</v>
      </c>
      <c r="F165">
        <v>114216</v>
      </c>
      <c r="G165">
        <v>114216</v>
      </c>
      <c r="H165">
        <v>114215.8</v>
      </c>
      <c r="I165">
        <v>14.332646</v>
      </c>
      <c r="J165">
        <v>4</v>
      </c>
      <c r="K165">
        <v>114216</v>
      </c>
      <c r="L165">
        <v>114216</v>
      </c>
      <c r="M165">
        <v>0.45024999999999998</v>
      </c>
      <c r="N165">
        <v>5</v>
      </c>
      <c r="O165" s="5">
        <v>114216</v>
      </c>
      <c r="P165" s="5">
        <v>114216</v>
      </c>
      <c r="Q165">
        <v>10.225326300000001</v>
      </c>
      <c r="R165">
        <v>5</v>
      </c>
    </row>
    <row r="166" spans="1:18" x14ac:dyDescent="0.3">
      <c r="A166" t="s">
        <v>370</v>
      </c>
      <c r="B166" t="s">
        <v>147</v>
      </c>
      <c r="C166">
        <v>2000</v>
      </c>
      <c r="D166">
        <v>200</v>
      </c>
      <c r="E166" s="1">
        <v>0.90878250000000005</v>
      </c>
      <c r="F166">
        <v>114240</v>
      </c>
      <c r="G166">
        <v>114240</v>
      </c>
      <c r="H166">
        <v>114239.2</v>
      </c>
      <c r="I166">
        <v>21.604004</v>
      </c>
      <c r="J166">
        <v>1</v>
      </c>
      <c r="K166">
        <v>114240</v>
      </c>
      <c r="L166">
        <v>114240</v>
      </c>
      <c r="M166">
        <v>8.7248809999999999</v>
      </c>
      <c r="N166">
        <v>5</v>
      </c>
      <c r="O166" s="5">
        <v>114240</v>
      </c>
      <c r="P166" s="4">
        <v>114239.4</v>
      </c>
      <c r="Q166">
        <v>53.694981300000002</v>
      </c>
      <c r="R166">
        <v>2</v>
      </c>
    </row>
    <row r="167" spans="1:18" x14ac:dyDescent="0.3">
      <c r="A167" t="s">
        <v>370</v>
      </c>
      <c r="B167" t="s">
        <v>148</v>
      </c>
      <c r="C167">
        <v>2000</v>
      </c>
      <c r="D167">
        <v>200</v>
      </c>
      <c r="E167" s="1">
        <v>0.90847750000000005</v>
      </c>
      <c r="F167">
        <v>114335</v>
      </c>
      <c r="G167">
        <v>114335</v>
      </c>
      <c r="H167">
        <v>114335</v>
      </c>
      <c r="I167">
        <v>25.686063000000001</v>
      </c>
      <c r="J167">
        <v>5</v>
      </c>
      <c r="K167">
        <v>114335</v>
      </c>
      <c r="L167">
        <v>114335</v>
      </c>
      <c r="M167">
        <v>2.4676529999999999</v>
      </c>
      <c r="N167">
        <v>5</v>
      </c>
      <c r="O167" s="5">
        <v>114335</v>
      </c>
      <c r="P167" s="5">
        <v>114335</v>
      </c>
      <c r="Q167">
        <v>15.523773780000001</v>
      </c>
      <c r="R167">
        <v>5</v>
      </c>
    </row>
    <row r="168" spans="1:18" x14ac:dyDescent="0.3">
      <c r="A168" t="s">
        <v>370</v>
      </c>
      <c r="B168" t="s">
        <v>149</v>
      </c>
      <c r="C168">
        <v>2000</v>
      </c>
      <c r="D168">
        <v>200</v>
      </c>
      <c r="E168" s="1">
        <v>0.90899399999999997</v>
      </c>
      <c r="F168">
        <v>114255</v>
      </c>
      <c r="G168">
        <v>114255</v>
      </c>
      <c r="H168">
        <v>114255</v>
      </c>
      <c r="I168">
        <v>21.318508000000001</v>
      </c>
      <c r="J168">
        <v>5</v>
      </c>
      <c r="K168">
        <v>114255</v>
      </c>
      <c r="L168">
        <v>114255</v>
      </c>
      <c r="M168">
        <v>2.272894</v>
      </c>
      <c r="N168">
        <v>5</v>
      </c>
      <c r="O168" s="5">
        <v>114255</v>
      </c>
      <c r="P168" s="5">
        <v>114255</v>
      </c>
      <c r="Q168">
        <v>23.654825389999999</v>
      </c>
      <c r="R168">
        <v>5</v>
      </c>
    </row>
    <row r="169" spans="1:18" x14ac:dyDescent="0.3">
      <c r="A169" t="s">
        <v>370</v>
      </c>
      <c r="B169" t="s">
        <v>150</v>
      </c>
      <c r="C169">
        <v>2000</v>
      </c>
      <c r="D169">
        <v>200</v>
      </c>
      <c r="E169" s="1">
        <v>0.90877399999999997</v>
      </c>
      <c r="F169">
        <v>114408</v>
      </c>
      <c r="G169">
        <v>114408</v>
      </c>
      <c r="H169">
        <v>114408</v>
      </c>
      <c r="I169">
        <v>31.690619999999999</v>
      </c>
      <c r="J169">
        <v>5</v>
      </c>
      <c r="K169">
        <v>114408</v>
      </c>
      <c r="L169">
        <v>114408</v>
      </c>
      <c r="M169">
        <v>1.5338130000000001</v>
      </c>
      <c r="N169">
        <v>5</v>
      </c>
      <c r="O169" s="5">
        <v>114408</v>
      </c>
      <c r="P169" s="5">
        <v>114408</v>
      </c>
      <c r="Q169">
        <v>10.041288209999999</v>
      </c>
      <c r="R169">
        <v>5</v>
      </c>
    </row>
    <row r="170" spans="1:18" x14ac:dyDescent="0.3">
      <c r="A170" t="s">
        <v>370</v>
      </c>
      <c r="B170" t="s">
        <v>151</v>
      </c>
      <c r="C170">
        <v>2000</v>
      </c>
      <c r="D170">
        <v>200</v>
      </c>
      <c r="E170" s="1">
        <v>0.90847250000000002</v>
      </c>
      <c r="F170">
        <v>114201</v>
      </c>
      <c r="G170">
        <v>114201</v>
      </c>
      <c r="H170">
        <v>114201</v>
      </c>
      <c r="I170">
        <v>15.521703</v>
      </c>
      <c r="J170">
        <v>5</v>
      </c>
      <c r="K170">
        <v>114201</v>
      </c>
      <c r="L170">
        <v>114201</v>
      </c>
      <c r="M170">
        <v>0.53979600000000005</v>
      </c>
      <c r="N170">
        <v>5</v>
      </c>
      <c r="O170" s="5">
        <v>114201</v>
      </c>
      <c r="P170" s="5">
        <v>114201</v>
      </c>
      <c r="Q170">
        <v>7.5505580779999999</v>
      </c>
      <c r="R170">
        <v>5</v>
      </c>
    </row>
    <row r="171" spans="1:18" x14ac:dyDescent="0.3">
      <c r="A171" t="s">
        <v>370</v>
      </c>
      <c r="B171" t="s">
        <v>152</v>
      </c>
      <c r="C171">
        <v>2000</v>
      </c>
      <c r="D171">
        <v>200</v>
      </c>
      <c r="E171" s="1">
        <v>0.90851899999999997</v>
      </c>
      <c r="F171">
        <v>114349</v>
      </c>
      <c r="G171">
        <v>114349</v>
      </c>
      <c r="H171">
        <v>114337.8</v>
      </c>
      <c r="I171">
        <v>21.086711999999999</v>
      </c>
      <c r="J171">
        <v>4</v>
      </c>
      <c r="K171">
        <v>114349</v>
      </c>
      <c r="L171">
        <v>114349</v>
      </c>
      <c r="M171">
        <v>1.7248030000000001</v>
      </c>
      <c r="N171">
        <v>5</v>
      </c>
      <c r="O171" s="5">
        <v>114349</v>
      </c>
      <c r="P171" s="5">
        <v>114349</v>
      </c>
      <c r="Q171">
        <v>4.8278096469999996</v>
      </c>
      <c r="R171">
        <v>5</v>
      </c>
    </row>
    <row r="172" spans="1:18" x14ac:dyDescent="0.3">
      <c r="A172" s="8" t="s">
        <v>371</v>
      </c>
      <c r="B172" s="8"/>
      <c r="C172" s="8">
        <v>2000</v>
      </c>
      <c r="D172" s="8"/>
      <c r="E172" s="9"/>
      <c r="F172" s="8"/>
      <c r="G172" s="8">
        <f t="array" ref="G172">AVERAGE((F152:F171-G152:G171)/F152:F171)</f>
        <v>0</v>
      </c>
      <c r="H172" s="8">
        <f t="array" ref="H172">AVERAGE((F152:F171-H152:H171)/F152:F171)</f>
        <v>7.4684162328189809E-5</v>
      </c>
      <c r="I172" s="8" t="s">
        <v>9</v>
      </c>
      <c r="J172" s="8">
        <f>SUM(J152:J171)</f>
        <v>65</v>
      </c>
      <c r="K172" s="8">
        <f t="array" ref="K172">AVERAGE((F152:F171-K152:K171)/F152:F171)</f>
        <v>0</v>
      </c>
      <c r="L172" s="8">
        <f t="array" ref="L172">AVERAGE((F152:F171-L152:L171)/F152:F171)</f>
        <v>1.7529559218978344E-7</v>
      </c>
      <c r="M172" s="8" t="s">
        <v>9</v>
      </c>
      <c r="N172" s="8">
        <f>SUM(N152:N171)</f>
        <v>99</v>
      </c>
      <c r="O172" s="11">
        <f t="array" ref="O172">AVERAGE((F152:F171-O152:O171)/F152:F171)</f>
        <v>0</v>
      </c>
      <c r="P172" s="10">
        <f t="array" ref="P172">AVERAGE((F152:F171-P152:P171)/F152:F171)</f>
        <v>2.8026728780104248E-6</v>
      </c>
      <c r="Q172" s="8" t="s">
        <v>9</v>
      </c>
      <c r="R172" s="8">
        <f>SUM(R152:R171)</f>
        <v>88</v>
      </c>
    </row>
    <row r="173" spans="1:18" x14ac:dyDescent="0.3">
      <c r="A173" t="s">
        <v>372</v>
      </c>
      <c r="B173" t="s">
        <v>153</v>
      </c>
      <c r="C173">
        <v>500</v>
      </c>
      <c r="D173">
        <v>50</v>
      </c>
      <c r="E173" s="1">
        <v>0.99698399999999998</v>
      </c>
      <c r="F173">
        <v>7780.35</v>
      </c>
      <c r="G173">
        <v>7780.35</v>
      </c>
      <c r="H173">
        <v>7780.35</v>
      </c>
      <c r="I173">
        <v>7.0223999999999995E-2</v>
      </c>
      <c r="J173">
        <v>5</v>
      </c>
      <c r="K173">
        <v>7780.35</v>
      </c>
      <c r="L173">
        <v>7780.35</v>
      </c>
      <c r="M173">
        <v>5.3709999999999999E-3</v>
      </c>
      <c r="N173">
        <v>5</v>
      </c>
      <c r="O173" s="6">
        <v>7780.35</v>
      </c>
      <c r="P173" s="6">
        <v>7780.35</v>
      </c>
      <c r="Q173">
        <v>0.32345773439999997</v>
      </c>
      <c r="R173">
        <v>5</v>
      </c>
    </row>
    <row r="174" spans="1:18" x14ac:dyDescent="0.3">
      <c r="A174" t="s">
        <v>372</v>
      </c>
      <c r="B174" t="s">
        <v>154</v>
      </c>
      <c r="C174">
        <v>500</v>
      </c>
      <c r="D174">
        <v>50</v>
      </c>
      <c r="E174" s="1">
        <v>0.99700800000000001</v>
      </c>
      <c r="F174">
        <v>7770.95</v>
      </c>
      <c r="G174">
        <v>7770.95</v>
      </c>
      <c r="H174">
        <v>7770.95</v>
      </c>
      <c r="I174">
        <v>0.34644200000000003</v>
      </c>
      <c r="J174">
        <v>5</v>
      </c>
      <c r="K174">
        <v>7770.95</v>
      </c>
      <c r="L174">
        <v>7770.95</v>
      </c>
      <c r="M174">
        <v>3.179E-3</v>
      </c>
      <c r="N174">
        <v>5</v>
      </c>
      <c r="O174" s="6">
        <v>7770.95</v>
      </c>
      <c r="P174" s="6">
        <v>7770.95</v>
      </c>
      <c r="Q174">
        <v>0.96981514440000005</v>
      </c>
      <c r="R174">
        <v>5</v>
      </c>
    </row>
    <row r="175" spans="1:18" x14ac:dyDescent="0.3">
      <c r="A175" t="s">
        <v>372</v>
      </c>
      <c r="B175" t="s">
        <v>155</v>
      </c>
      <c r="C175">
        <v>500</v>
      </c>
      <c r="D175">
        <v>50</v>
      </c>
      <c r="E175" s="1">
        <v>0.99714400000000003</v>
      </c>
      <c r="F175">
        <v>7757.65</v>
      </c>
      <c r="G175">
        <v>7757.65</v>
      </c>
      <c r="H175">
        <v>7757.65</v>
      </c>
      <c r="I175">
        <v>0.101797</v>
      </c>
      <c r="J175">
        <v>5</v>
      </c>
      <c r="K175">
        <v>7757.65</v>
      </c>
      <c r="L175">
        <v>7757.65</v>
      </c>
      <c r="M175">
        <v>7.8200000000000006E-3</v>
      </c>
      <c r="N175">
        <v>5</v>
      </c>
      <c r="O175" s="6">
        <v>7757.65</v>
      </c>
      <c r="P175" s="6">
        <v>7757.65</v>
      </c>
      <c r="Q175">
        <v>0.37579573220000001</v>
      </c>
      <c r="R175">
        <v>5</v>
      </c>
    </row>
    <row r="176" spans="1:18" x14ac:dyDescent="0.3">
      <c r="A176" t="s">
        <v>372</v>
      </c>
      <c r="B176" t="s">
        <v>156</v>
      </c>
      <c r="C176">
        <v>500</v>
      </c>
      <c r="D176">
        <v>50</v>
      </c>
      <c r="E176" s="1">
        <v>0.99719199999999997</v>
      </c>
      <c r="F176">
        <v>7798.43</v>
      </c>
      <c r="G176">
        <v>7798.43</v>
      </c>
      <c r="H176">
        <v>7798.43</v>
      </c>
      <c r="I176">
        <v>0.25900600000000001</v>
      </c>
      <c r="J176">
        <v>5</v>
      </c>
      <c r="K176">
        <v>7798.43</v>
      </c>
      <c r="L176">
        <v>7798.43</v>
      </c>
      <c r="M176">
        <v>6.0819999999999997E-3</v>
      </c>
      <c r="N176">
        <v>5</v>
      </c>
      <c r="O176" s="6">
        <v>7798.43</v>
      </c>
      <c r="P176" s="6">
        <v>7798.43</v>
      </c>
      <c r="Q176">
        <v>0.22476983240000001</v>
      </c>
      <c r="R176">
        <v>5</v>
      </c>
    </row>
    <row r="177" spans="1:18" x14ac:dyDescent="0.3">
      <c r="A177" t="s">
        <v>372</v>
      </c>
      <c r="B177" t="s">
        <v>157</v>
      </c>
      <c r="C177">
        <v>500</v>
      </c>
      <c r="D177">
        <v>50</v>
      </c>
      <c r="E177" s="1">
        <v>0.99719999999999998</v>
      </c>
      <c r="F177">
        <v>7795.63</v>
      </c>
      <c r="G177">
        <v>7795.63</v>
      </c>
      <c r="H177">
        <v>7795.63</v>
      </c>
      <c r="I177">
        <v>7.6589000000000004E-2</v>
      </c>
      <c r="J177">
        <v>5</v>
      </c>
      <c r="K177">
        <v>7795.63</v>
      </c>
      <c r="L177">
        <v>7795.63</v>
      </c>
      <c r="M177">
        <v>6.5430000000000002E-3</v>
      </c>
      <c r="N177">
        <v>5</v>
      </c>
      <c r="O177" s="6">
        <v>7795.63</v>
      </c>
      <c r="P177" s="6">
        <v>7795.63</v>
      </c>
      <c r="Q177">
        <v>0.91629063340000005</v>
      </c>
      <c r="R177">
        <v>5</v>
      </c>
    </row>
    <row r="178" spans="1:18" x14ac:dyDescent="0.3">
      <c r="A178" t="s">
        <v>372</v>
      </c>
      <c r="B178" t="s">
        <v>158</v>
      </c>
      <c r="C178">
        <v>500</v>
      </c>
      <c r="D178">
        <v>50</v>
      </c>
      <c r="E178" s="1">
        <v>0.99710399999999999</v>
      </c>
      <c r="F178">
        <v>7736.84</v>
      </c>
      <c r="G178">
        <v>7736.84</v>
      </c>
      <c r="H178">
        <v>7736.84</v>
      </c>
      <c r="I178">
        <v>1.2075689999999999</v>
      </c>
      <c r="J178">
        <v>5</v>
      </c>
      <c r="K178">
        <v>7736.84</v>
      </c>
      <c r="L178">
        <v>7736.84</v>
      </c>
      <c r="M178">
        <v>1.4633E-2</v>
      </c>
      <c r="N178">
        <v>5</v>
      </c>
      <c r="O178" s="6">
        <v>7736.84</v>
      </c>
      <c r="P178" s="6">
        <v>7736.84</v>
      </c>
      <c r="Q178">
        <v>1.1822238949999999</v>
      </c>
      <c r="R178">
        <v>5</v>
      </c>
    </row>
    <row r="179" spans="1:18" x14ac:dyDescent="0.3">
      <c r="A179" t="s">
        <v>372</v>
      </c>
      <c r="B179" t="s">
        <v>159</v>
      </c>
      <c r="C179">
        <v>500</v>
      </c>
      <c r="D179">
        <v>50</v>
      </c>
      <c r="E179" s="1">
        <v>0.99695999999999996</v>
      </c>
      <c r="F179">
        <v>7792.77</v>
      </c>
      <c r="G179">
        <v>7792.77</v>
      </c>
      <c r="H179">
        <v>7792.77</v>
      </c>
      <c r="I179">
        <v>6.0250999999999999E-2</v>
      </c>
      <c r="J179">
        <v>5</v>
      </c>
      <c r="K179">
        <v>7792.77</v>
      </c>
      <c r="L179">
        <v>7792.77</v>
      </c>
      <c r="M179">
        <v>9.4570000000000001E-3</v>
      </c>
      <c r="N179">
        <v>5</v>
      </c>
      <c r="O179" s="6">
        <v>7792.77</v>
      </c>
      <c r="P179" s="6">
        <v>7792.77</v>
      </c>
      <c r="Q179">
        <v>0.23253542420000001</v>
      </c>
      <c r="R179">
        <v>5</v>
      </c>
    </row>
    <row r="180" spans="1:18" x14ac:dyDescent="0.3">
      <c r="A180" t="s">
        <v>372</v>
      </c>
      <c r="B180" t="s">
        <v>160</v>
      </c>
      <c r="C180">
        <v>500</v>
      </c>
      <c r="D180">
        <v>50</v>
      </c>
      <c r="E180" s="1">
        <v>0.99691200000000002</v>
      </c>
      <c r="F180">
        <v>7787.2</v>
      </c>
      <c r="G180">
        <v>7787.2</v>
      </c>
      <c r="H180">
        <v>7787.2</v>
      </c>
      <c r="I180">
        <v>0.15955</v>
      </c>
      <c r="J180">
        <v>5</v>
      </c>
      <c r="K180">
        <v>7787.2</v>
      </c>
      <c r="L180">
        <v>7787.2</v>
      </c>
      <c r="M180">
        <v>3.7390000000000001E-3</v>
      </c>
      <c r="N180">
        <v>5</v>
      </c>
      <c r="O180" s="6">
        <v>7787.2</v>
      </c>
      <c r="P180" s="6">
        <v>7787.2</v>
      </c>
      <c r="Q180">
        <v>0.25818156860000002</v>
      </c>
      <c r="R180">
        <v>5</v>
      </c>
    </row>
    <row r="181" spans="1:18" x14ac:dyDescent="0.3">
      <c r="A181" t="s">
        <v>372</v>
      </c>
      <c r="B181" t="s">
        <v>161</v>
      </c>
      <c r="C181">
        <v>500</v>
      </c>
      <c r="D181">
        <v>50</v>
      </c>
      <c r="E181" s="1">
        <v>0.99712800000000001</v>
      </c>
      <c r="F181">
        <v>7756.26</v>
      </c>
      <c r="G181">
        <v>7756.26</v>
      </c>
      <c r="H181">
        <v>7756.26</v>
      </c>
      <c r="I181">
        <v>0.24380499999999999</v>
      </c>
      <c r="J181">
        <v>5</v>
      </c>
      <c r="K181">
        <v>7756.26</v>
      </c>
      <c r="L181">
        <v>7756.26</v>
      </c>
      <c r="M181">
        <v>1.1042E-2</v>
      </c>
      <c r="N181">
        <v>5</v>
      </c>
      <c r="O181" s="6">
        <v>7756.26</v>
      </c>
      <c r="P181" s="6">
        <v>7756.26</v>
      </c>
      <c r="Q181">
        <v>2.1678946610000001</v>
      </c>
      <c r="R181">
        <v>5</v>
      </c>
    </row>
    <row r="182" spans="1:18" x14ac:dyDescent="0.3">
      <c r="A182" t="s">
        <v>372</v>
      </c>
      <c r="B182" t="s">
        <v>162</v>
      </c>
      <c r="C182">
        <v>500</v>
      </c>
      <c r="D182">
        <v>50</v>
      </c>
      <c r="E182" s="1">
        <v>0.996888</v>
      </c>
      <c r="F182">
        <v>7755.41</v>
      </c>
      <c r="G182">
        <v>7755.41</v>
      </c>
      <c r="H182">
        <v>7755.41</v>
      </c>
      <c r="I182">
        <v>0.28873199999999999</v>
      </c>
      <c r="J182">
        <v>5</v>
      </c>
      <c r="K182">
        <v>7755.41</v>
      </c>
      <c r="L182">
        <v>7755.41</v>
      </c>
      <c r="M182">
        <v>5.1840000000000002E-3</v>
      </c>
      <c r="N182">
        <v>5</v>
      </c>
      <c r="O182" s="6">
        <v>7755.41</v>
      </c>
      <c r="P182" s="6">
        <v>7755.41</v>
      </c>
      <c r="Q182">
        <v>0.92018011239999997</v>
      </c>
      <c r="R182">
        <v>5</v>
      </c>
    </row>
    <row r="183" spans="1:18" x14ac:dyDescent="0.3">
      <c r="A183" t="s">
        <v>372</v>
      </c>
      <c r="B183" t="s">
        <v>163</v>
      </c>
      <c r="C183">
        <v>500</v>
      </c>
      <c r="D183">
        <v>50</v>
      </c>
      <c r="E183" s="1">
        <v>0.99704800000000005</v>
      </c>
      <c r="F183">
        <v>7833.83</v>
      </c>
      <c r="G183">
        <v>7833.83</v>
      </c>
      <c r="H183">
        <v>7833.83</v>
      </c>
      <c r="I183">
        <v>1.0765E-2</v>
      </c>
      <c r="J183">
        <v>5</v>
      </c>
      <c r="K183">
        <v>7833.83</v>
      </c>
      <c r="L183">
        <v>7833.83</v>
      </c>
      <c r="M183">
        <v>2.7520000000000001E-3</v>
      </c>
      <c r="N183">
        <v>5</v>
      </c>
      <c r="O183" s="6">
        <v>7833.83</v>
      </c>
      <c r="P183" s="6">
        <v>7833.83</v>
      </c>
      <c r="Q183">
        <v>7.4156715200000001E-2</v>
      </c>
      <c r="R183">
        <v>5</v>
      </c>
    </row>
    <row r="184" spans="1:18" x14ac:dyDescent="0.3">
      <c r="A184" t="s">
        <v>372</v>
      </c>
      <c r="B184" t="s">
        <v>164</v>
      </c>
      <c r="C184">
        <v>500</v>
      </c>
      <c r="D184">
        <v>50</v>
      </c>
      <c r="E184" s="1">
        <v>0.99690400000000001</v>
      </c>
      <c r="F184">
        <v>7733.86</v>
      </c>
      <c r="G184">
        <v>7733.86</v>
      </c>
      <c r="H184">
        <v>7733.86</v>
      </c>
      <c r="I184">
        <v>0.23008500000000001</v>
      </c>
      <c r="J184">
        <v>5</v>
      </c>
      <c r="K184">
        <v>7733.86</v>
      </c>
      <c r="L184">
        <v>7733.86</v>
      </c>
      <c r="M184">
        <v>8.5869999999999991E-3</v>
      </c>
      <c r="N184">
        <v>5</v>
      </c>
      <c r="O184" s="6">
        <v>7733.86</v>
      </c>
      <c r="P184" s="6">
        <v>7733.86</v>
      </c>
      <c r="Q184">
        <v>1.803924504</v>
      </c>
      <c r="R184">
        <v>5</v>
      </c>
    </row>
    <row r="185" spans="1:18" x14ac:dyDescent="0.3">
      <c r="A185" t="s">
        <v>372</v>
      </c>
      <c r="B185" t="s">
        <v>165</v>
      </c>
      <c r="C185">
        <v>500</v>
      </c>
      <c r="D185">
        <v>50</v>
      </c>
      <c r="E185" s="1">
        <v>0.99707999999999997</v>
      </c>
      <c r="F185">
        <v>7771.66</v>
      </c>
      <c r="G185">
        <v>7771.66</v>
      </c>
      <c r="H185">
        <v>7771.66</v>
      </c>
      <c r="I185">
        <v>0.33371899999999999</v>
      </c>
      <c r="J185">
        <v>5</v>
      </c>
      <c r="K185">
        <v>7771.66</v>
      </c>
      <c r="L185">
        <v>7771.66</v>
      </c>
      <c r="M185">
        <v>6.816E-3</v>
      </c>
      <c r="N185">
        <v>5</v>
      </c>
      <c r="O185" s="6">
        <v>7771.66</v>
      </c>
      <c r="P185" s="6">
        <v>7771.66</v>
      </c>
      <c r="Q185">
        <v>0.16642123859999999</v>
      </c>
      <c r="R185">
        <v>5</v>
      </c>
    </row>
    <row r="186" spans="1:18" x14ac:dyDescent="0.3">
      <c r="A186" t="s">
        <v>372</v>
      </c>
      <c r="B186" t="s">
        <v>166</v>
      </c>
      <c r="C186">
        <v>500</v>
      </c>
      <c r="D186">
        <v>50</v>
      </c>
      <c r="E186" s="1">
        <v>0.99683999999999995</v>
      </c>
      <c r="F186">
        <v>7759.36</v>
      </c>
      <c r="G186">
        <v>7759.36</v>
      </c>
      <c r="H186">
        <v>7759.36</v>
      </c>
      <c r="I186">
        <v>0.26306099999999999</v>
      </c>
      <c r="J186">
        <v>5</v>
      </c>
      <c r="K186">
        <v>7759.36</v>
      </c>
      <c r="L186">
        <v>7759.36</v>
      </c>
      <c r="M186">
        <v>2.1770000000000001E-3</v>
      </c>
      <c r="N186">
        <v>5</v>
      </c>
      <c r="O186" s="6">
        <v>7759.36</v>
      </c>
      <c r="P186" s="6">
        <v>7759.36</v>
      </c>
      <c r="Q186">
        <v>1.625595055</v>
      </c>
      <c r="R186">
        <v>5</v>
      </c>
    </row>
    <row r="187" spans="1:18" x14ac:dyDescent="0.3">
      <c r="A187" t="s">
        <v>372</v>
      </c>
      <c r="B187" t="s">
        <v>167</v>
      </c>
      <c r="C187">
        <v>500</v>
      </c>
      <c r="D187">
        <v>50</v>
      </c>
      <c r="E187" s="1">
        <v>0.99679200000000001</v>
      </c>
      <c r="F187">
        <v>7770.24</v>
      </c>
      <c r="G187">
        <v>7770.24</v>
      </c>
      <c r="H187">
        <v>7770.24</v>
      </c>
      <c r="I187">
        <v>2.4197850000000001</v>
      </c>
      <c r="J187">
        <v>5</v>
      </c>
      <c r="K187">
        <v>7770.24</v>
      </c>
      <c r="L187">
        <v>7770.24</v>
      </c>
      <c r="M187">
        <v>1.7073999999999999E-2</v>
      </c>
      <c r="N187">
        <v>5</v>
      </c>
      <c r="O187" s="6">
        <v>7770.24</v>
      </c>
      <c r="P187" s="6">
        <v>7770.24</v>
      </c>
      <c r="Q187">
        <v>0.41779024799999998</v>
      </c>
      <c r="R187">
        <v>5</v>
      </c>
    </row>
    <row r="188" spans="1:18" x14ac:dyDescent="0.3">
      <c r="A188" t="s">
        <v>372</v>
      </c>
      <c r="B188" t="s">
        <v>168</v>
      </c>
      <c r="C188">
        <v>500</v>
      </c>
      <c r="D188">
        <v>50</v>
      </c>
      <c r="E188" s="1">
        <v>0.99695999999999996</v>
      </c>
      <c r="F188">
        <v>7755.23</v>
      </c>
      <c r="G188">
        <v>7755.23</v>
      </c>
      <c r="H188">
        <v>7755.23</v>
      </c>
      <c r="I188">
        <v>0.18532299999999999</v>
      </c>
      <c r="J188">
        <v>5</v>
      </c>
      <c r="K188">
        <v>7755.23</v>
      </c>
      <c r="L188">
        <v>7755.23</v>
      </c>
      <c r="M188">
        <v>6.5589999999999997E-3</v>
      </c>
      <c r="N188">
        <v>5</v>
      </c>
      <c r="O188" s="6">
        <v>7755.23</v>
      </c>
      <c r="P188" s="6">
        <v>7755.23</v>
      </c>
      <c r="Q188">
        <v>0.46469334099999998</v>
      </c>
      <c r="R188">
        <v>5</v>
      </c>
    </row>
    <row r="189" spans="1:18" x14ac:dyDescent="0.3">
      <c r="A189" t="s">
        <v>372</v>
      </c>
      <c r="B189" t="s">
        <v>169</v>
      </c>
      <c r="C189">
        <v>500</v>
      </c>
      <c r="D189">
        <v>50</v>
      </c>
      <c r="E189" s="1">
        <v>0.99696799999999997</v>
      </c>
      <c r="F189">
        <v>7773.71</v>
      </c>
      <c r="G189">
        <v>7773.71</v>
      </c>
      <c r="H189">
        <v>7773.71</v>
      </c>
      <c r="I189">
        <v>4.4317000000000002E-2</v>
      </c>
      <c r="J189">
        <v>5</v>
      </c>
      <c r="K189">
        <v>7773.71</v>
      </c>
      <c r="L189">
        <v>7773.71</v>
      </c>
      <c r="M189">
        <v>2.7629999999999998E-3</v>
      </c>
      <c r="N189">
        <v>5</v>
      </c>
      <c r="O189" s="6">
        <v>7773.71</v>
      </c>
      <c r="P189" s="6">
        <v>7773.71</v>
      </c>
      <c r="Q189">
        <v>0.53239555780000003</v>
      </c>
      <c r="R189">
        <v>5</v>
      </c>
    </row>
    <row r="190" spans="1:18" x14ac:dyDescent="0.3">
      <c r="A190" t="s">
        <v>372</v>
      </c>
      <c r="B190" t="s">
        <v>170</v>
      </c>
      <c r="C190">
        <v>500</v>
      </c>
      <c r="D190">
        <v>50</v>
      </c>
      <c r="E190" s="1">
        <v>0.99705600000000005</v>
      </c>
      <c r="F190">
        <v>7771.73</v>
      </c>
      <c r="G190">
        <v>7771.73</v>
      </c>
      <c r="H190">
        <v>7771.73</v>
      </c>
      <c r="I190">
        <v>0.493282</v>
      </c>
      <c r="J190">
        <v>5</v>
      </c>
      <c r="K190">
        <v>7771.73</v>
      </c>
      <c r="L190">
        <v>7771.73</v>
      </c>
      <c r="M190">
        <v>1.5679999999999999E-3</v>
      </c>
      <c r="N190">
        <v>5</v>
      </c>
      <c r="O190" s="6">
        <v>7771.73</v>
      </c>
      <c r="P190" s="6">
        <v>7771.73</v>
      </c>
      <c r="Q190">
        <v>0.6641586276</v>
      </c>
      <c r="R190">
        <v>5</v>
      </c>
    </row>
    <row r="191" spans="1:18" x14ac:dyDescent="0.3">
      <c r="A191" t="s">
        <v>372</v>
      </c>
      <c r="B191" t="s">
        <v>171</v>
      </c>
      <c r="C191">
        <v>500</v>
      </c>
      <c r="D191">
        <v>50</v>
      </c>
      <c r="E191" s="1">
        <v>0.99704000000000004</v>
      </c>
      <c r="F191">
        <v>7750.88</v>
      </c>
      <c r="G191">
        <v>7750.88</v>
      </c>
      <c r="H191">
        <v>7750.88</v>
      </c>
      <c r="I191">
        <v>0.33784799999999998</v>
      </c>
      <c r="J191">
        <v>5</v>
      </c>
      <c r="K191">
        <v>7750.88</v>
      </c>
      <c r="L191">
        <v>7750.88</v>
      </c>
      <c r="M191">
        <v>8.489E-3</v>
      </c>
      <c r="N191">
        <v>5</v>
      </c>
      <c r="O191" s="6">
        <v>7750.88</v>
      </c>
      <c r="P191" s="6">
        <v>7750.88</v>
      </c>
      <c r="Q191">
        <v>1.2277725690000001</v>
      </c>
      <c r="R191">
        <v>5</v>
      </c>
    </row>
    <row r="192" spans="1:18" x14ac:dyDescent="0.3">
      <c r="A192" t="s">
        <v>372</v>
      </c>
      <c r="B192" t="s">
        <v>172</v>
      </c>
      <c r="C192">
        <v>500</v>
      </c>
      <c r="D192">
        <v>50</v>
      </c>
      <c r="E192" s="1">
        <v>0.99679200000000001</v>
      </c>
      <c r="F192">
        <v>7770.07</v>
      </c>
      <c r="G192">
        <v>7770.07</v>
      </c>
      <c r="H192">
        <v>7770.07</v>
      </c>
      <c r="I192">
        <v>0.53564500000000004</v>
      </c>
      <c r="J192">
        <v>5</v>
      </c>
      <c r="K192">
        <v>7770.07</v>
      </c>
      <c r="L192">
        <v>7770.07</v>
      </c>
      <c r="M192">
        <v>2.565E-3</v>
      </c>
      <c r="N192">
        <v>5</v>
      </c>
      <c r="O192" s="6">
        <v>7770.07</v>
      </c>
      <c r="P192" s="6">
        <v>7770.07</v>
      </c>
      <c r="Q192">
        <v>0.45499786139999998</v>
      </c>
      <c r="R192">
        <v>5</v>
      </c>
    </row>
    <row r="193" spans="1:18" x14ac:dyDescent="0.3">
      <c r="A193" s="8" t="s">
        <v>373</v>
      </c>
      <c r="B193" s="8"/>
      <c r="C193" s="8">
        <v>500</v>
      </c>
      <c r="D193" s="8"/>
      <c r="E193" s="9"/>
      <c r="F193" s="8"/>
      <c r="G193" s="8">
        <v>0</v>
      </c>
      <c r="H193" s="8">
        <v>0</v>
      </c>
      <c r="I193" s="8">
        <f>AVERAGE(I173:I192)</f>
        <v>0.38338974999999997</v>
      </c>
      <c r="J193" s="8">
        <f>SUM(J173:J192)</f>
        <v>100</v>
      </c>
      <c r="K193" s="8">
        <v>0</v>
      </c>
      <c r="L193" s="8">
        <v>0</v>
      </c>
      <c r="M193" s="8">
        <f>AVERAGE(M173:M192)</f>
        <v>6.6200000000000009E-3</v>
      </c>
      <c r="N193" s="8">
        <f>SUM(N173:N192)</f>
        <v>100</v>
      </c>
      <c r="O193" s="11">
        <v>0</v>
      </c>
      <c r="P193" s="11">
        <v>0</v>
      </c>
      <c r="Q193" s="8">
        <f>AVERAGE(Q173:Q192)</f>
        <v>0.75015252278</v>
      </c>
      <c r="R193" s="8">
        <f>SUM(R173:R192)</f>
        <v>100</v>
      </c>
    </row>
    <row r="194" spans="1:18" x14ac:dyDescent="0.3">
      <c r="A194" t="s">
        <v>374</v>
      </c>
      <c r="B194" t="s">
        <v>173</v>
      </c>
      <c r="C194">
        <v>2000</v>
      </c>
      <c r="D194">
        <v>200</v>
      </c>
      <c r="E194" s="1">
        <v>0.99950000000000006</v>
      </c>
      <c r="F194" s="2">
        <v>11299894.826950001</v>
      </c>
      <c r="G194">
        <v>11299894.826949701</v>
      </c>
      <c r="H194">
        <v>11299894.826949701</v>
      </c>
      <c r="I194">
        <v>20.903691999999999</v>
      </c>
      <c r="J194">
        <v>5</v>
      </c>
      <c r="K194">
        <v>11299894.8269496</v>
      </c>
      <c r="L194">
        <v>11299894.826949701</v>
      </c>
      <c r="M194">
        <v>0.69605899999999998</v>
      </c>
      <c r="N194">
        <v>5</v>
      </c>
      <c r="O194" s="6">
        <v>11299894.83</v>
      </c>
      <c r="P194" s="6">
        <v>11299894.83</v>
      </c>
      <c r="Q194">
        <v>10.32827606</v>
      </c>
      <c r="R194">
        <v>5</v>
      </c>
    </row>
    <row r="195" spans="1:18" x14ac:dyDescent="0.3">
      <c r="A195" t="s">
        <v>374</v>
      </c>
      <c r="B195" t="s">
        <v>174</v>
      </c>
      <c r="C195">
        <v>2000</v>
      </c>
      <c r="D195">
        <v>200</v>
      </c>
      <c r="E195" s="1">
        <v>0.99950000000000006</v>
      </c>
      <c r="F195" s="2">
        <v>11292398.161481</v>
      </c>
      <c r="G195">
        <v>11292398.1614813</v>
      </c>
      <c r="H195">
        <v>11289455.735360401</v>
      </c>
      <c r="I195">
        <v>23.493628999999999</v>
      </c>
      <c r="J195">
        <v>2</v>
      </c>
      <c r="K195">
        <v>11292398.161481399</v>
      </c>
      <c r="L195">
        <v>11292398.161481399</v>
      </c>
      <c r="M195">
        <v>18.678523999999999</v>
      </c>
      <c r="N195">
        <v>5</v>
      </c>
      <c r="O195" s="6">
        <v>11292398.16</v>
      </c>
      <c r="P195" s="6">
        <v>11292398.16</v>
      </c>
      <c r="Q195">
        <v>15.09769724</v>
      </c>
      <c r="R195">
        <v>5</v>
      </c>
    </row>
    <row r="196" spans="1:18" x14ac:dyDescent="0.3">
      <c r="A196" t="s">
        <v>374</v>
      </c>
      <c r="B196" t="s">
        <v>175</v>
      </c>
      <c r="C196">
        <v>2000</v>
      </c>
      <c r="D196">
        <v>200</v>
      </c>
      <c r="E196" s="1">
        <v>0.99950000000000006</v>
      </c>
      <c r="F196" s="2">
        <v>11299940.462684</v>
      </c>
      <c r="G196">
        <v>11299940.4626841</v>
      </c>
      <c r="H196">
        <v>11299940.4626841</v>
      </c>
      <c r="I196">
        <v>17.132472</v>
      </c>
      <c r="J196">
        <v>5</v>
      </c>
      <c r="K196">
        <v>11299940.4626841</v>
      </c>
      <c r="L196">
        <v>11299940.4626841</v>
      </c>
      <c r="M196">
        <v>0.91021399999999997</v>
      </c>
      <c r="N196">
        <v>5</v>
      </c>
      <c r="O196" s="6">
        <v>11299940.460000001</v>
      </c>
      <c r="P196" s="6">
        <v>11299940.460000001</v>
      </c>
      <c r="Q196">
        <v>6.6548493989999997</v>
      </c>
      <c r="R196">
        <v>5</v>
      </c>
    </row>
    <row r="197" spans="1:18" x14ac:dyDescent="0.3">
      <c r="A197" t="s">
        <v>374</v>
      </c>
      <c r="B197" t="s">
        <v>176</v>
      </c>
      <c r="C197">
        <v>2000</v>
      </c>
      <c r="D197">
        <v>200</v>
      </c>
      <c r="E197" s="1">
        <v>0.99950000000000006</v>
      </c>
      <c r="F197" s="2">
        <v>11291119.490683001</v>
      </c>
      <c r="G197">
        <v>11291119.490683099</v>
      </c>
      <c r="H197">
        <v>11290972.2354603</v>
      </c>
      <c r="I197">
        <v>25.472192</v>
      </c>
      <c r="J197">
        <v>2</v>
      </c>
      <c r="K197">
        <v>11291119.4906832</v>
      </c>
      <c r="L197">
        <v>11291119.4906832</v>
      </c>
      <c r="M197">
        <v>10.420913000000001</v>
      </c>
      <c r="N197">
        <v>5</v>
      </c>
      <c r="O197" s="6">
        <v>11291119.49</v>
      </c>
      <c r="P197" s="6">
        <v>11290986.810000001</v>
      </c>
      <c r="Q197">
        <v>26.906209879999999</v>
      </c>
      <c r="R197">
        <v>1</v>
      </c>
    </row>
    <row r="198" spans="1:18" x14ac:dyDescent="0.3">
      <c r="A198" t="s">
        <v>374</v>
      </c>
      <c r="B198" t="s">
        <v>177</v>
      </c>
      <c r="C198">
        <v>2000</v>
      </c>
      <c r="D198">
        <v>200</v>
      </c>
      <c r="E198" s="1">
        <v>0.99950000000000006</v>
      </c>
      <c r="F198" s="2">
        <v>11298026.880925</v>
      </c>
      <c r="G198">
        <v>11298026.880924501</v>
      </c>
      <c r="H198">
        <v>11297657.204798499</v>
      </c>
      <c r="I198">
        <v>51.922451000000002</v>
      </c>
      <c r="J198">
        <v>2</v>
      </c>
      <c r="K198">
        <v>11298026.8809244</v>
      </c>
      <c r="L198">
        <v>11298026.880924501</v>
      </c>
      <c r="M198">
        <v>10.268647</v>
      </c>
      <c r="N198">
        <v>5</v>
      </c>
      <c r="O198" s="6">
        <v>11298026.880000001</v>
      </c>
      <c r="P198" s="6">
        <v>11298018.279999999</v>
      </c>
      <c r="Q198">
        <v>13.35343142</v>
      </c>
      <c r="R198">
        <v>3</v>
      </c>
    </row>
    <row r="199" spans="1:18" x14ac:dyDescent="0.3">
      <c r="A199" t="s">
        <v>374</v>
      </c>
      <c r="B199" t="s">
        <v>178</v>
      </c>
      <c r="C199">
        <v>2000</v>
      </c>
      <c r="D199">
        <v>200</v>
      </c>
      <c r="E199" s="1">
        <v>0.99950000000000006</v>
      </c>
      <c r="F199" s="2">
        <v>11298430.416817</v>
      </c>
      <c r="G199">
        <v>11298430.416817401</v>
      </c>
      <c r="H199">
        <v>11295503.057194799</v>
      </c>
      <c r="I199">
        <v>7.9947150000000002</v>
      </c>
      <c r="J199">
        <v>2</v>
      </c>
      <c r="K199">
        <v>11298430.416817401</v>
      </c>
      <c r="L199">
        <v>11298430.416817401</v>
      </c>
      <c r="M199">
        <v>0.276194</v>
      </c>
      <c r="N199">
        <v>5</v>
      </c>
      <c r="O199" s="6">
        <v>11298430.42</v>
      </c>
      <c r="P199" s="6">
        <v>11298430.42</v>
      </c>
      <c r="Q199">
        <v>11.096562410000001</v>
      </c>
      <c r="R199">
        <v>5</v>
      </c>
    </row>
    <row r="200" spans="1:18" x14ac:dyDescent="0.3">
      <c r="A200" t="s">
        <v>374</v>
      </c>
      <c r="B200" t="s">
        <v>179</v>
      </c>
      <c r="C200">
        <v>2000</v>
      </c>
      <c r="D200">
        <v>200</v>
      </c>
      <c r="E200" s="1">
        <v>0.99950000000000006</v>
      </c>
      <c r="F200" s="2">
        <v>11305676.848937999</v>
      </c>
      <c r="G200">
        <v>11305676.8489378</v>
      </c>
      <c r="H200">
        <v>11305676.8489377</v>
      </c>
      <c r="I200">
        <v>32.829709000000001</v>
      </c>
      <c r="J200">
        <v>5</v>
      </c>
      <c r="K200">
        <v>11305676.8489377</v>
      </c>
      <c r="L200">
        <v>11305676.8489377</v>
      </c>
      <c r="M200">
        <v>2.1654810000000002</v>
      </c>
      <c r="N200">
        <v>5</v>
      </c>
      <c r="O200" s="6">
        <v>11305676.85</v>
      </c>
      <c r="P200" s="6">
        <v>11305676.85</v>
      </c>
      <c r="Q200">
        <v>4.3742362349999997</v>
      </c>
      <c r="R200">
        <v>5</v>
      </c>
    </row>
    <row r="201" spans="1:18" x14ac:dyDescent="0.3">
      <c r="A201" t="s">
        <v>374</v>
      </c>
      <c r="B201" t="s">
        <v>180</v>
      </c>
      <c r="C201">
        <v>2000</v>
      </c>
      <c r="D201">
        <v>200</v>
      </c>
      <c r="E201" s="1">
        <v>0.99950000000000006</v>
      </c>
      <c r="F201" s="2">
        <v>11282910.880689999</v>
      </c>
      <c r="G201">
        <v>11282909.8929267</v>
      </c>
      <c r="H201">
        <v>11282639.256440001</v>
      </c>
      <c r="I201" t="s">
        <v>9</v>
      </c>
      <c r="J201">
        <v>0</v>
      </c>
      <c r="K201">
        <v>11282910.8806896</v>
      </c>
      <c r="L201">
        <v>11282910.8806896</v>
      </c>
      <c r="M201">
        <v>32.000720000000001</v>
      </c>
      <c r="N201">
        <v>5</v>
      </c>
      <c r="O201" s="6">
        <v>11282910.880000001</v>
      </c>
      <c r="P201" s="6">
        <v>11282871.51</v>
      </c>
      <c r="Q201">
        <v>49.765735569999997</v>
      </c>
      <c r="R201">
        <v>1</v>
      </c>
    </row>
    <row r="202" spans="1:18" x14ac:dyDescent="0.3">
      <c r="A202" t="s">
        <v>374</v>
      </c>
      <c r="B202" t="s">
        <v>181</v>
      </c>
      <c r="C202">
        <v>2000</v>
      </c>
      <c r="D202">
        <v>200</v>
      </c>
      <c r="E202" s="1">
        <v>0.99950000000000006</v>
      </c>
      <c r="F202" s="2">
        <v>11297339.482894</v>
      </c>
      <c r="G202">
        <v>11297339.482893899</v>
      </c>
      <c r="H202">
        <v>11297248.705216501</v>
      </c>
      <c r="I202">
        <v>45.720910000000003</v>
      </c>
      <c r="J202">
        <v>2</v>
      </c>
      <c r="K202">
        <v>11297339.4828938</v>
      </c>
      <c r="L202">
        <v>11297339.4828938</v>
      </c>
      <c r="M202">
        <v>9.0714520000000007</v>
      </c>
      <c r="N202">
        <v>5</v>
      </c>
      <c r="O202" s="6">
        <v>11297339.48</v>
      </c>
      <c r="P202" s="6">
        <v>11297339.48</v>
      </c>
      <c r="Q202">
        <v>22.184666109999998</v>
      </c>
      <c r="R202">
        <v>5</v>
      </c>
    </row>
    <row r="203" spans="1:18" x14ac:dyDescent="0.3">
      <c r="A203" t="s">
        <v>374</v>
      </c>
      <c r="B203" t="s">
        <v>182</v>
      </c>
      <c r="C203">
        <v>2000</v>
      </c>
      <c r="D203">
        <v>200</v>
      </c>
      <c r="E203" s="1">
        <v>0.99950000000000006</v>
      </c>
      <c r="F203" s="2">
        <v>11298064.583673</v>
      </c>
      <c r="G203">
        <v>11298064.583673</v>
      </c>
      <c r="H203">
        <v>11297876.2168191</v>
      </c>
      <c r="I203">
        <v>28.744720000000001</v>
      </c>
      <c r="J203">
        <v>4</v>
      </c>
      <c r="K203">
        <v>11298064.583673</v>
      </c>
      <c r="L203">
        <v>11298064.5836729</v>
      </c>
      <c r="M203">
        <v>3.8290860000000002</v>
      </c>
      <c r="N203">
        <v>5</v>
      </c>
      <c r="O203" s="6">
        <v>11298064.58</v>
      </c>
      <c r="P203" s="6">
        <v>11297989.460000001</v>
      </c>
      <c r="Q203">
        <v>24.686421330000002</v>
      </c>
      <c r="R203">
        <v>4</v>
      </c>
    </row>
    <row r="204" spans="1:18" x14ac:dyDescent="0.3">
      <c r="A204" t="s">
        <v>374</v>
      </c>
      <c r="B204" t="s">
        <v>183</v>
      </c>
      <c r="C204">
        <v>2000</v>
      </c>
      <c r="D204">
        <v>200</v>
      </c>
      <c r="E204" s="1">
        <v>0.99950000000000006</v>
      </c>
      <c r="F204" s="2">
        <v>11288901.171914</v>
      </c>
      <c r="G204">
        <v>11288901.171914</v>
      </c>
      <c r="H204">
        <v>11288760.609567599</v>
      </c>
      <c r="I204">
        <v>41.463903000000002</v>
      </c>
      <c r="J204">
        <v>3</v>
      </c>
      <c r="K204">
        <v>11288901.171914</v>
      </c>
      <c r="L204">
        <v>11288901.171914</v>
      </c>
      <c r="M204">
        <v>2.6037409999999999</v>
      </c>
      <c r="N204">
        <v>5</v>
      </c>
      <c r="O204" s="6">
        <v>11288901.17</v>
      </c>
      <c r="P204" s="6">
        <v>11288901.17</v>
      </c>
      <c r="Q204">
        <v>12.56416903</v>
      </c>
      <c r="R204">
        <v>5</v>
      </c>
    </row>
    <row r="205" spans="1:18" x14ac:dyDescent="0.3">
      <c r="A205" t="s">
        <v>374</v>
      </c>
      <c r="B205" t="s">
        <v>184</v>
      </c>
      <c r="C205">
        <v>2000</v>
      </c>
      <c r="D205">
        <v>200</v>
      </c>
      <c r="E205" s="1">
        <v>0.99950000000000006</v>
      </c>
      <c r="F205" s="2">
        <v>11283539.257941</v>
      </c>
      <c r="G205">
        <v>11283476.856587199</v>
      </c>
      <c r="H205">
        <v>11283465.4152903</v>
      </c>
      <c r="I205" t="s">
        <v>9</v>
      </c>
      <c r="J205">
        <v>0</v>
      </c>
      <c r="K205">
        <v>11283539.2579409</v>
      </c>
      <c r="L205">
        <v>11283539.257940801</v>
      </c>
      <c r="M205">
        <v>14.267232999999999</v>
      </c>
      <c r="N205">
        <v>5</v>
      </c>
      <c r="O205" s="6">
        <v>11283539.26</v>
      </c>
      <c r="P205" s="6">
        <v>11283526.779999999</v>
      </c>
      <c r="Q205">
        <v>30.49519755</v>
      </c>
      <c r="R205">
        <v>4</v>
      </c>
    </row>
    <row r="206" spans="1:18" x14ac:dyDescent="0.3">
      <c r="A206" t="s">
        <v>374</v>
      </c>
      <c r="B206" t="s">
        <v>185</v>
      </c>
      <c r="C206">
        <v>2000</v>
      </c>
      <c r="D206">
        <v>200</v>
      </c>
      <c r="E206" s="1">
        <v>0.99950000000000006</v>
      </c>
      <c r="F206" s="2">
        <v>11298038.129276</v>
      </c>
      <c r="G206">
        <v>11298038.129276199</v>
      </c>
      <c r="H206">
        <v>11297432.1126571</v>
      </c>
      <c r="I206">
        <v>17.255172999999999</v>
      </c>
      <c r="J206">
        <v>1</v>
      </c>
      <c r="K206">
        <v>11298038.129276101</v>
      </c>
      <c r="L206">
        <v>11298038.129276101</v>
      </c>
      <c r="M206">
        <v>14.250111</v>
      </c>
      <c r="N206">
        <v>5</v>
      </c>
      <c r="O206" s="6">
        <v>11298038.130000001</v>
      </c>
      <c r="P206" s="6">
        <v>11297788.810000001</v>
      </c>
      <c r="Q206">
        <v>19.286039689999999</v>
      </c>
      <c r="R206">
        <v>2</v>
      </c>
    </row>
    <row r="207" spans="1:18" x14ac:dyDescent="0.3">
      <c r="A207" t="s">
        <v>374</v>
      </c>
      <c r="B207" t="s">
        <v>186</v>
      </c>
      <c r="C207">
        <v>2000</v>
      </c>
      <c r="D207">
        <v>200</v>
      </c>
      <c r="E207" s="1">
        <v>0.99950000000000006</v>
      </c>
      <c r="F207" s="2">
        <v>11290482.634834001</v>
      </c>
      <c r="G207">
        <v>11289593.0874155</v>
      </c>
      <c r="H207">
        <v>11288472.947700299</v>
      </c>
      <c r="I207" t="s">
        <v>9</v>
      </c>
      <c r="J207">
        <v>0</v>
      </c>
      <c r="K207">
        <v>11290482.6348333</v>
      </c>
      <c r="L207">
        <v>11290482.6348333</v>
      </c>
      <c r="M207">
        <v>4.1537449999999998</v>
      </c>
      <c r="N207">
        <v>5</v>
      </c>
      <c r="O207" s="6">
        <v>11290482.630000001</v>
      </c>
      <c r="P207" s="6">
        <v>11290224.83</v>
      </c>
      <c r="Q207">
        <v>34.656600429999997</v>
      </c>
      <c r="R207">
        <v>4</v>
      </c>
    </row>
    <row r="208" spans="1:18" x14ac:dyDescent="0.3">
      <c r="A208" t="s">
        <v>374</v>
      </c>
      <c r="B208" t="s">
        <v>187</v>
      </c>
      <c r="C208">
        <v>2000</v>
      </c>
      <c r="D208">
        <v>200</v>
      </c>
      <c r="E208" s="1">
        <v>0.99950000000000006</v>
      </c>
      <c r="F208" s="2">
        <v>11307424.090151001</v>
      </c>
      <c r="G208">
        <v>11307424.090150399</v>
      </c>
      <c r="H208">
        <v>11307424.0901505</v>
      </c>
      <c r="I208">
        <v>6.1646489999999998</v>
      </c>
      <c r="J208">
        <v>5</v>
      </c>
      <c r="K208">
        <v>11307424.0901505</v>
      </c>
      <c r="L208">
        <v>11307424.0901505</v>
      </c>
      <c r="M208">
        <v>0.75038199999999999</v>
      </c>
      <c r="N208">
        <v>5</v>
      </c>
      <c r="O208" s="6">
        <v>11307424.09</v>
      </c>
      <c r="P208" s="6">
        <v>11307424.09</v>
      </c>
      <c r="Q208">
        <v>3.4078210819999999</v>
      </c>
      <c r="R208">
        <v>5</v>
      </c>
    </row>
    <row r="209" spans="1:18" x14ac:dyDescent="0.3">
      <c r="A209" t="s">
        <v>374</v>
      </c>
      <c r="B209" t="s">
        <v>188</v>
      </c>
      <c r="C209">
        <v>2000</v>
      </c>
      <c r="D209">
        <v>200</v>
      </c>
      <c r="E209" s="1">
        <v>0.99950000000000006</v>
      </c>
      <c r="F209" s="2">
        <v>11302892.010383001</v>
      </c>
      <c r="G209">
        <v>11302892.010383099</v>
      </c>
      <c r="H209">
        <v>11301400.995367</v>
      </c>
      <c r="I209">
        <v>29.651928999999999</v>
      </c>
      <c r="J209">
        <v>3</v>
      </c>
      <c r="K209">
        <v>11302892.010383099</v>
      </c>
      <c r="L209">
        <v>11302892.0103832</v>
      </c>
      <c r="M209">
        <v>7.0850970000000002</v>
      </c>
      <c r="N209">
        <v>5</v>
      </c>
      <c r="O209" s="6">
        <v>11302892.01</v>
      </c>
      <c r="P209" s="6">
        <v>11302892.01</v>
      </c>
      <c r="Q209">
        <v>24.558719700000001</v>
      </c>
      <c r="R209">
        <v>5</v>
      </c>
    </row>
    <row r="210" spans="1:18" x14ac:dyDescent="0.3">
      <c r="A210" t="s">
        <v>374</v>
      </c>
      <c r="B210" t="s">
        <v>189</v>
      </c>
      <c r="C210">
        <v>2000</v>
      </c>
      <c r="D210">
        <v>200</v>
      </c>
      <c r="E210" s="1">
        <v>0.99950000000000006</v>
      </c>
      <c r="F210" s="2">
        <v>11295773.7621</v>
      </c>
      <c r="G210">
        <v>11294803.9691578</v>
      </c>
      <c r="H210">
        <v>11294209.747011101</v>
      </c>
      <c r="I210" t="s">
        <v>9</v>
      </c>
      <c r="J210">
        <v>0</v>
      </c>
      <c r="K210">
        <v>11295773.7621</v>
      </c>
      <c r="L210">
        <v>11295773.762100101</v>
      </c>
      <c r="M210">
        <v>2.9193449999999999</v>
      </c>
      <c r="N210">
        <v>5</v>
      </c>
      <c r="O210" s="6">
        <v>11295773.76</v>
      </c>
      <c r="P210" s="6">
        <v>11295719.68</v>
      </c>
      <c r="Q210">
        <v>34.516755170000003</v>
      </c>
      <c r="R210">
        <v>2</v>
      </c>
    </row>
    <row r="211" spans="1:18" x14ac:dyDescent="0.3">
      <c r="A211" t="s">
        <v>374</v>
      </c>
      <c r="B211" t="s">
        <v>190</v>
      </c>
      <c r="C211">
        <v>2000</v>
      </c>
      <c r="D211">
        <v>200</v>
      </c>
      <c r="E211" s="1">
        <v>0.99950000000000006</v>
      </c>
      <c r="F211" s="2">
        <v>11296535.520041</v>
      </c>
      <c r="G211">
        <v>11296535.520040501</v>
      </c>
      <c r="H211">
        <v>11295317.6652223</v>
      </c>
      <c r="I211">
        <v>23.856605999999999</v>
      </c>
      <c r="J211">
        <v>4</v>
      </c>
      <c r="K211">
        <v>11296535.520040501</v>
      </c>
      <c r="L211">
        <v>11296535.520040501</v>
      </c>
      <c r="M211">
        <v>7.0407729999999997</v>
      </c>
      <c r="N211">
        <v>5</v>
      </c>
      <c r="O211" s="6">
        <v>11296535.52</v>
      </c>
      <c r="P211" s="6">
        <v>11296535.52</v>
      </c>
      <c r="Q211">
        <v>24.86150761</v>
      </c>
      <c r="R211">
        <v>5</v>
      </c>
    </row>
    <row r="212" spans="1:18" x14ac:dyDescent="0.3">
      <c r="A212" t="s">
        <v>374</v>
      </c>
      <c r="B212" t="s">
        <v>191</v>
      </c>
      <c r="C212">
        <v>2000</v>
      </c>
      <c r="D212">
        <v>200</v>
      </c>
      <c r="E212" s="1">
        <v>0.99950000000000006</v>
      </c>
      <c r="F212" s="2">
        <v>11295054.202273</v>
      </c>
      <c r="G212">
        <v>11295054.202272899</v>
      </c>
      <c r="H212">
        <v>11294075.594902899</v>
      </c>
      <c r="I212">
        <v>1.188005</v>
      </c>
      <c r="J212">
        <v>1</v>
      </c>
      <c r="K212">
        <v>11295054.202272899</v>
      </c>
      <c r="L212">
        <v>11295054.202272899</v>
      </c>
      <c r="M212">
        <v>2.9860950000000002</v>
      </c>
      <c r="N212">
        <v>5</v>
      </c>
      <c r="O212" s="6">
        <v>11295054.199999999</v>
      </c>
      <c r="P212" s="6">
        <v>11295035.02</v>
      </c>
      <c r="Q212">
        <v>33.571752259999997</v>
      </c>
      <c r="R212">
        <v>3</v>
      </c>
    </row>
    <row r="213" spans="1:18" x14ac:dyDescent="0.3">
      <c r="A213" t="s">
        <v>374</v>
      </c>
      <c r="B213" t="s">
        <v>192</v>
      </c>
      <c r="C213">
        <v>2000</v>
      </c>
      <c r="D213">
        <v>200</v>
      </c>
      <c r="E213" s="1">
        <v>0.99950000000000006</v>
      </c>
      <c r="F213" s="2">
        <v>11309162.635267001</v>
      </c>
      <c r="G213">
        <v>11309162.635267099</v>
      </c>
      <c r="H213">
        <v>11308758.026720099</v>
      </c>
      <c r="I213">
        <v>26.578047000000002</v>
      </c>
      <c r="J213">
        <v>4</v>
      </c>
      <c r="K213">
        <v>11309162.635267099</v>
      </c>
      <c r="L213">
        <v>11309162.635267099</v>
      </c>
      <c r="M213">
        <v>2.353872</v>
      </c>
      <c r="N213">
        <v>5</v>
      </c>
      <c r="O213" s="6">
        <v>11309162.640000001</v>
      </c>
      <c r="P213" s="6">
        <v>11309162.640000001</v>
      </c>
      <c r="Q213">
        <v>7.9872534020000003</v>
      </c>
      <c r="R213">
        <v>5</v>
      </c>
    </row>
    <row r="214" spans="1:18" x14ac:dyDescent="0.3">
      <c r="A214" s="8" t="s">
        <v>375</v>
      </c>
      <c r="B214" s="8"/>
      <c r="C214" s="8">
        <v>2000</v>
      </c>
      <c r="D214" s="8"/>
      <c r="E214" s="9"/>
      <c r="F214" s="8"/>
      <c r="G214" s="8">
        <f t="array" ref="G214">AVERAGE((F194:F213-G194:G213)/F194:F213)</f>
        <v>8.512985386658379E-6</v>
      </c>
      <c r="H214" s="8">
        <f t="array" ref="H214">AVERAGE((F194:F213-H194:H213)/F194:F213)</f>
        <v>6.8271909012309473E-5</v>
      </c>
      <c r="I214" s="8" t="s">
        <v>9</v>
      </c>
      <c r="J214" s="8">
        <f>SUM(J194:J213)</f>
        <v>50</v>
      </c>
      <c r="K214" s="11">
        <v>0</v>
      </c>
      <c r="L214" s="8">
        <v>0</v>
      </c>
      <c r="M214" s="8">
        <f>AVERAGE(M194:M213)</f>
        <v>7.3363842000000004</v>
      </c>
      <c r="N214" s="8">
        <f>SUM(N194:N213)</f>
        <v>100</v>
      </c>
      <c r="O214" s="11">
        <v>0</v>
      </c>
      <c r="P214" s="10">
        <f t="array" ref="P214">AVERAGE((F194:F213-P194:P213)/F194:F213)</f>
        <v>3.7571934805714866E-6</v>
      </c>
      <c r="Q214" s="8" t="s">
        <v>9</v>
      </c>
      <c r="R214" s="8">
        <f>SUM(R194:R213)</f>
        <v>79</v>
      </c>
    </row>
    <row r="215" spans="1:18" x14ac:dyDescent="0.3">
      <c r="A215" t="s">
        <v>376</v>
      </c>
      <c r="B215" t="s">
        <v>193</v>
      </c>
      <c r="C215">
        <v>500</v>
      </c>
      <c r="D215">
        <v>50</v>
      </c>
      <c r="E215" s="1">
        <v>0.99799199999999999</v>
      </c>
      <c r="F215">
        <v>774961.12</v>
      </c>
      <c r="G215">
        <v>774961.11999999895</v>
      </c>
      <c r="H215">
        <v>774961.11999999895</v>
      </c>
      <c r="I215">
        <v>0.72316599999999998</v>
      </c>
      <c r="J215">
        <v>5</v>
      </c>
      <c r="K215">
        <v>774961.11999999604</v>
      </c>
      <c r="L215">
        <v>774961.11999999895</v>
      </c>
      <c r="M215">
        <v>1.678E-2</v>
      </c>
      <c r="N215">
        <v>5</v>
      </c>
      <c r="O215" s="6">
        <v>774961.12</v>
      </c>
      <c r="P215" s="6">
        <v>774961.12</v>
      </c>
      <c r="Q215">
        <v>1.2676799780000001</v>
      </c>
      <c r="R215">
        <v>5</v>
      </c>
    </row>
    <row r="216" spans="1:18" x14ac:dyDescent="0.3">
      <c r="A216" t="s">
        <v>376</v>
      </c>
      <c r="B216" t="s">
        <v>194</v>
      </c>
      <c r="C216">
        <v>500</v>
      </c>
      <c r="D216">
        <v>50</v>
      </c>
      <c r="E216" s="1">
        <v>0.998</v>
      </c>
      <c r="F216">
        <v>777468.78</v>
      </c>
      <c r="G216">
        <v>777468.78</v>
      </c>
      <c r="H216">
        <v>777468.77999999898</v>
      </c>
      <c r="I216">
        <v>0.47670200000000001</v>
      </c>
      <c r="J216">
        <v>5</v>
      </c>
      <c r="K216">
        <v>777468.78</v>
      </c>
      <c r="L216">
        <v>777468.78</v>
      </c>
      <c r="M216">
        <v>1.9750000000000002E-3</v>
      </c>
      <c r="N216">
        <v>5</v>
      </c>
      <c r="O216" s="6">
        <v>777468.78</v>
      </c>
      <c r="P216" s="6">
        <v>777468.78</v>
      </c>
      <c r="Q216">
        <v>0.31955871800000002</v>
      </c>
      <c r="R216">
        <v>5</v>
      </c>
    </row>
    <row r="217" spans="1:18" x14ac:dyDescent="0.3">
      <c r="A217" t="s">
        <v>376</v>
      </c>
      <c r="B217" t="s">
        <v>195</v>
      </c>
      <c r="C217">
        <v>500</v>
      </c>
      <c r="D217">
        <v>50</v>
      </c>
      <c r="E217" s="1">
        <v>0.998</v>
      </c>
      <c r="F217">
        <v>775492.89</v>
      </c>
      <c r="G217">
        <v>775492.89</v>
      </c>
      <c r="H217">
        <v>775492.89000000095</v>
      </c>
      <c r="I217">
        <v>0.431454</v>
      </c>
      <c r="J217">
        <v>5</v>
      </c>
      <c r="K217">
        <v>775492.89</v>
      </c>
      <c r="L217">
        <v>775492.89</v>
      </c>
      <c r="M217">
        <v>7.868E-3</v>
      </c>
      <c r="N217">
        <v>5</v>
      </c>
      <c r="O217" s="6">
        <v>775492.89</v>
      </c>
      <c r="P217" s="6">
        <v>775492.89</v>
      </c>
      <c r="Q217">
        <v>0.56790552380000003</v>
      </c>
      <c r="R217">
        <v>5</v>
      </c>
    </row>
    <row r="218" spans="1:18" x14ac:dyDescent="0.3">
      <c r="A218" t="s">
        <v>376</v>
      </c>
      <c r="B218" t="s">
        <v>196</v>
      </c>
      <c r="C218">
        <v>500</v>
      </c>
      <c r="D218">
        <v>50</v>
      </c>
      <c r="E218" s="1">
        <v>0.998</v>
      </c>
      <c r="F218">
        <v>780191.78</v>
      </c>
      <c r="G218">
        <v>780191.78</v>
      </c>
      <c r="H218">
        <v>780191.78</v>
      </c>
      <c r="I218">
        <v>7.2230000000000003E-3</v>
      </c>
      <c r="J218">
        <v>5</v>
      </c>
      <c r="K218">
        <v>780191.78</v>
      </c>
      <c r="L218">
        <v>780191.78</v>
      </c>
      <c r="M218">
        <v>1.0169999999999999E-3</v>
      </c>
      <c r="N218">
        <v>5</v>
      </c>
      <c r="O218" s="6">
        <v>780191.78</v>
      </c>
      <c r="P218" s="6">
        <v>780191.78</v>
      </c>
      <c r="Q218">
        <v>0.2470390978</v>
      </c>
      <c r="R218">
        <v>5</v>
      </c>
    </row>
    <row r="219" spans="1:18" x14ac:dyDescent="0.3">
      <c r="A219" t="s">
        <v>376</v>
      </c>
      <c r="B219" t="s">
        <v>197</v>
      </c>
      <c r="C219">
        <v>500</v>
      </c>
      <c r="D219">
        <v>50</v>
      </c>
      <c r="E219" s="1">
        <v>0.998</v>
      </c>
      <c r="F219">
        <v>782232.68</v>
      </c>
      <c r="G219">
        <v>782232.68000000203</v>
      </c>
      <c r="H219">
        <v>782232.68000000098</v>
      </c>
      <c r="I219">
        <v>0.28515299999999999</v>
      </c>
      <c r="J219">
        <v>5</v>
      </c>
      <c r="K219">
        <v>782232.68</v>
      </c>
      <c r="L219">
        <v>782232.68</v>
      </c>
      <c r="M219">
        <v>2.2829999999999999E-3</v>
      </c>
      <c r="N219">
        <v>5</v>
      </c>
      <c r="O219" s="6">
        <v>782232.68</v>
      </c>
      <c r="P219" s="6">
        <v>782232.68</v>
      </c>
      <c r="Q219">
        <v>0.22748119880000001</v>
      </c>
      <c r="R219">
        <v>5</v>
      </c>
    </row>
    <row r="220" spans="1:18" x14ac:dyDescent="0.3">
      <c r="A220" t="s">
        <v>376</v>
      </c>
      <c r="B220" t="s">
        <v>198</v>
      </c>
      <c r="C220">
        <v>500</v>
      </c>
      <c r="D220">
        <v>50</v>
      </c>
      <c r="E220" s="1">
        <v>0.998</v>
      </c>
      <c r="F220">
        <v>780300.33</v>
      </c>
      <c r="G220">
        <v>780300.32999999903</v>
      </c>
      <c r="H220">
        <v>780300.33000000101</v>
      </c>
      <c r="I220">
        <v>0.106089</v>
      </c>
      <c r="J220">
        <v>5</v>
      </c>
      <c r="K220">
        <v>780300.33</v>
      </c>
      <c r="L220">
        <v>780300.33</v>
      </c>
      <c r="M220">
        <v>2.2139999999999998E-3</v>
      </c>
      <c r="N220">
        <v>5</v>
      </c>
      <c r="O220" s="6">
        <v>780300.33</v>
      </c>
      <c r="P220" s="6">
        <v>780300.33</v>
      </c>
      <c r="Q220">
        <v>3.5018408600000002E-2</v>
      </c>
      <c r="R220">
        <v>5</v>
      </c>
    </row>
    <row r="221" spans="1:18" x14ac:dyDescent="0.3">
      <c r="A221" t="s">
        <v>376</v>
      </c>
      <c r="B221" t="s">
        <v>199</v>
      </c>
      <c r="C221">
        <v>500</v>
      </c>
      <c r="D221">
        <v>50</v>
      </c>
      <c r="E221" s="1">
        <v>0.99797599999999997</v>
      </c>
      <c r="F221">
        <v>775436.19</v>
      </c>
      <c r="G221">
        <v>775436.18999999901</v>
      </c>
      <c r="H221">
        <v>775436.18999999901</v>
      </c>
      <c r="I221">
        <v>2.7199000000000001E-2</v>
      </c>
      <c r="J221">
        <v>5</v>
      </c>
      <c r="K221">
        <v>775436.19</v>
      </c>
      <c r="L221">
        <v>775436.19</v>
      </c>
      <c r="M221">
        <v>4.0619999999999996E-3</v>
      </c>
      <c r="N221">
        <v>5</v>
      </c>
      <c r="O221" s="6">
        <v>775436.19</v>
      </c>
      <c r="P221" s="6">
        <v>775436.19</v>
      </c>
      <c r="Q221">
        <v>1.895611594</v>
      </c>
      <c r="R221">
        <v>5</v>
      </c>
    </row>
    <row r="222" spans="1:18" x14ac:dyDescent="0.3">
      <c r="A222" t="s">
        <v>376</v>
      </c>
      <c r="B222" t="s">
        <v>200</v>
      </c>
      <c r="C222">
        <v>500</v>
      </c>
      <c r="D222">
        <v>50</v>
      </c>
      <c r="E222" s="1">
        <v>0.998</v>
      </c>
      <c r="F222">
        <v>776618.99</v>
      </c>
      <c r="G222">
        <v>776618.98999999801</v>
      </c>
      <c r="H222">
        <v>776618.99</v>
      </c>
      <c r="I222">
        <v>0.22981399999999999</v>
      </c>
      <c r="J222">
        <v>5</v>
      </c>
      <c r="K222">
        <v>776618.99000000104</v>
      </c>
      <c r="L222">
        <v>776618.99</v>
      </c>
      <c r="M222">
        <v>1.0370000000000001E-2</v>
      </c>
      <c r="N222">
        <v>5</v>
      </c>
      <c r="O222" s="6">
        <v>776618.99</v>
      </c>
      <c r="P222" s="6">
        <v>776618.99</v>
      </c>
      <c r="Q222">
        <v>0.88083511459999997</v>
      </c>
      <c r="R222">
        <v>5</v>
      </c>
    </row>
    <row r="223" spans="1:18" x14ac:dyDescent="0.3">
      <c r="A223" t="s">
        <v>376</v>
      </c>
      <c r="B223" t="s">
        <v>201</v>
      </c>
      <c r="C223">
        <v>500</v>
      </c>
      <c r="D223">
        <v>50</v>
      </c>
      <c r="E223" s="1">
        <v>0.99798399999999998</v>
      </c>
      <c r="F223">
        <v>775850.64</v>
      </c>
      <c r="G223">
        <v>775850.64</v>
      </c>
      <c r="H223">
        <v>775850.64000000095</v>
      </c>
      <c r="I223">
        <v>0.50966800000000001</v>
      </c>
      <c r="J223">
        <v>5</v>
      </c>
      <c r="K223">
        <v>775850.63999999897</v>
      </c>
      <c r="L223">
        <v>775850.64000000095</v>
      </c>
      <c r="M223">
        <v>1.8360999999999999E-2</v>
      </c>
      <c r="N223">
        <v>5</v>
      </c>
      <c r="O223" s="6">
        <v>775850.64</v>
      </c>
      <c r="P223" s="6">
        <v>775850.64</v>
      </c>
      <c r="Q223">
        <v>0.76533136239999999</v>
      </c>
      <c r="R223">
        <v>5</v>
      </c>
    </row>
    <row r="224" spans="1:18" x14ac:dyDescent="0.3">
      <c r="A224" t="s">
        <v>376</v>
      </c>
      <c r="B224" t="s">
        <v>202</v>
      </c>
      <c r="C224">
        <v>500</v>
      </c>
      <c r="D224">
        <v>50</v>
      </c>
      <c r="E224" s="1">
        <v>0.99799199999999999</v>
      </c>
      <c r="F224">
        <v>778802.82</v>
      </c>
      <c r="G224">
        <v>778802.81999999902</v>
      </c>
      <c r="H224">
        <v>778802.82</v>
      </c>
      <c r="I224">
        <v>5.2093E-2</v>
      </c>
      <c r="J224">
        <v>5</v>
      </c>
      <c r="K224">
        <v>778802.81999999902</v>
      </c>
      <c r="L224">
        <v>778802.82</v>
      </c>
      <c r="M224">
        <v>4.895E-3</v>
      </c>
      <c r="N224">
        <v>5</v>
      </c>
      <c r="O224" s="6">
        <v>778802.82</v>
      </c>
      <c r="P224" s="6">
        <v>778802.82</v>
      </c>
      <c r="Q224">
        <v>1.4697782079999999</v>
      </c>
      <c r="R224">
        <v>5</v>
      </c>
    </row>
    <row r="225" spans="1:18" x14ac:dyDescent="0.3">
      <c r="A225" t="s">
        <v>376</v>
      </c>
      <c r="B225" t="s">
        <v>203</v>
      </c>
      <c r="C225">
        <v>500</v>
      </c>
      <c r="D225">
        <v>50</v>
      </c>
      <c r="E225" s="1">
        <v>0.99799199999999999</v>
      </c>
      <c r="F225">
        <v>778030.57</v>
      </c>
      <c r="G225">
        <v>778030.57</v>
      </c>
      <c r="H225">
        <v>778030.57</v>
      </c>
      <c r="I225">
        <v>0.112784</v>
      </c>
      <c r="J225">
        <v>5</v>
      </c>
      <c r="K225">
        <v>778030.570000001</v>
      </c>
      <c r="L225">
        <v>778030.570000001</v>
      </c>
      <c r="M225">
        <v>9.2359999999999994E-3</v>
      </c>
      <c r="N225">
        <v>5</v>
      </c>
      <c r="O225" s="6">
        <v>778030.57</v>
      </c>
      <c r="P225" s="6">
        <v>778030.57</v>
      </c>
      <c r="Q225">
        <v>0.33347692639999998</v>
      </c>
      <c r="R225">
        <v>5</v>
      </c>
    </row>
    <row r="226" spans="1:18" x14ac:dyDescent="0.3">
      <c r="A226" t="s">
        <v>376</v>
      </c>
      <c r="B226" t="s">
        <v>204</v>
      </c>
      <c r="C226">
        <v>500</v>
      </c>
      <c r="D226">
        <v>50</v>
      </c>
      <c r="E226" s="1">
        <v>0.99796799999999997</v>
      </c>
      <c r="F226">
        <v>778644.65</v>
      </c>
      <c r="G226">
        <v>778644.65000000095</v>
      </c>
      <c r="H226">
        <v>778644.65000000095</v>
      </c>
      <c r="I226">
        <v>0.147614</v>
      </c>
      <c r="J226">
        <v>5</v>
      </c>
      <c r="K226">
        <v>778644.65</v>
      </c>
      <c r="L226">
        <v>778644.65</v>
      </c>
      <c r="M226">
        <v>7.8960000000000002E-3</v>
      </c>
      <c r="N226">
        <v>5</v>
      </c>
      <c r="O226" s="6">
        <v>778644.65</v>
      </c>
      <c r="P226" s="6">
        <v>778644.65</v>
      </c>
      <c r="Q226">
        <v>6.5665460600000003E-2</v>
      </c>
      <c r="R226">
        <v>5</v>
      </c>
    </row>
    <row r="227" spans="1:18" x14ac:dyDescent="0.3">
      <c r="A227" t="s">
        <v>376</v>
      </c>
      <c r="B227" t="s">
        <v>205</v>
      </c>
      <c r="C227">
        <v>500</v>
      </c>
      <c r="D227">
        <v>50</v>
      </c>
      <c r="E227" s="1">
        <v>0.99798399999999998</v>
      </c>
      <c r="F227">
        <v>779963.54</v>
      </c>
      <c r="G227">
        <v>779963.53999999899</v>
      </c>
      <c r="H227">
        <v>779963.54</v>
      </c>
      <c r="I227">
        <v>0.155002</v>
      </c>
      <c r="J227">
        <v>5</v>
      </c>
      <c r="K227">
        <v>779963.54</v>
      </c>
      <c r="L227">
        <v>779963.54</v>
      </c>
      <c r="M227">
        <v>3.6709999999999998E-3</v>
      </c>
      <c r="N227">
        <v>5</v>
      </c>
      <c r="O227" s="6">
        <v>779963.54</v>
      </c>
      <c r="P227" s="6">
        <v>779963.54</v>
      </c>
      <c r="Q227">
        <v>0.15960806420000001</v>
      </c>
      <c r="R227">
        <v>5</v>
      </c>
    </row>
    <row r="228" spans="1:18" x14ac:dyDescent="0.3">
      <c r="A228" t="s">
        <v>376</v>
      </c>
      <c r="B228" t="s">
        <v>206</v>
      </c>
      <c r="C228">
        <v>500</v>
      </c>
      <c r="D228">
        <v>50</v>
      </c>
      <c r="E228" s="1">
        <v>0.99799199999999999</v>
      </c>
      <c r="F228">
        <v>776768.17</v>
      </c>
      <c r="G228">
        <v>776768.17000000097</v>
      </c>
      <c r="H228">
        <v>776768.17</v>
      </c>
      <c r="I228">
        <v>4.5645999999999999E-2</v>
      </c>
      <c r="J228">
        <v>5</v>
      </c>
      <c r="K228">
        <v>776768.16999999899</v>
      </c>
      <c r="L228">
        <v>776768.17</v>
      </c>
      <c r="M228">
        <v>5.0429999999999997E-3</v>
      </c>
      <c r="N228">
        <v>5</v>
      </c>
      <c r="O228" s="6">
        <v>776768.17</v>
      </c>
      <c r="P228" s="6">
        <v>776768.17</v>
      </c>
      <c r="Q228">
        <v>1.7387387459999999</v>
      </c>
      <c r="R228">
        <v>5</v>
      </c>
    </row>
    <row r="229" spans="1:18" x14ac:dyDescent="0.3">
      <c r="A229" t="s">
        <v>376</v>
      </c>
      <c r="B229" t="s">
        <v>207</v>
      </c>
      <c r="C229">
        <v>500</v>
      </c>
      <c r="D229">
        <v>50</v>
      </c>
      <c r="E229" s="1">
        <v>0.998</v>
      </c>
      <c r="F229">
        <v>775394.47</v>
      </c>
      <c r="G229">
        <v>775394.470000003</v>
      </c>
      <c r="H229">
        <v>775394.47</v>
      </c>
      <c r="I229">
        <v>0.36689899999999998</v>
      </c>
      <c r="J229">
        <v>5</v>
      </c>
      <c r="K229">
        <v>775394.47</v>
      </c>
      <c r="L229">
        <v>775394.47</v>
      </c>
      <c r="M229">
        <v>1.2940999999999999E-2</v>
      </c>
      <c r="N229">
        <v>5</v>
      </c>
      <c r="O229" s="6">
        <v>775394.47</v>
      </c>
      <c r="P229" s="6">
        <v>775394.47</v>
      </c>
      <c r="Q229">
        <v>2.963922073</v>
      </c>
      <c r="R229">
        <v>5</v>
      </c>
    </row>
    <row r="230" spans="1:18" x14ac:dyDescent="0.3">
      <c r="A230" t="s">
        <v>376</v>
      </c>
      <c r="B230" t="s">
        <v>208</v>
      </c>
      <c r="C230">
        <v>500</v>
      </c>
      <c r="D230">
        <v>50</v>
      </c>
      <c r="E230" s="1">
        <v>0.99798399999999998</v>
      </c>
      <c r="F230">
        <v>775610.96</v>
      </c>
      <c r="G230">
        <v>775610.96</v>
      </c>
      <c r="H230">
        <v>775610.96</v>
      </c>
      <c r="I230">
        <v>0.27813900000000003</v>
      </c>
      <c r="J230">
        <v>5</v>
      </c>
      <c r="K230">
        <v>775610.96</v>
      </c>
      <c r="L230">
        <v>775610.96</v>
      </c>
      <c r="M230">
        <v>1.4206E-2</v>
      </c>
      <c r="N230">
        <v>5</v>
      </c>
      <c r="O230" s="6">
        <v>775610.96</v>
      </c>
      <c r="P230" s="6">
        <v>775610.96</v>
      </c>
      <c r="Q230">
        <v>1.214530256</v>
      </c>
      <c r="R230">
        <v>5</v>
      </c>
    </row>
    <row r="231" spans="1:18" x14ac:dyDescent="0.3">
      <c r="A231" t="s">
        <v>376</v>
      </c>
      <c r="B231" t="s">
        <v>209</v>
      </c>
      <c r="C231">
        <v>500</v>
      </c>
      <c r="D231">
        <v>50</v>
      </c>
      <c r="E231" s="1">
        <v>0.99799199999999999</v>
      </c>
      <c r="F231">
        <v>775153.58</v>
      </c>
      <c r="G231">
        <v>775153.58</v>
      </c>
      <c r="H231">
        <v>775153.58</v>
      </c>
      <c r="I231">
        <v>5.5871999999999998E-2</v>
      </c>
      <c r="J231">
        <v>5</v>
      </c>
      <c r="K231">
        <v>775153.58</v>
      </c>
      <c r="L231">
        <v>775153.58</v>
      </c>
      <c r="M231">
        <v>1.738E-3</v>
      </c>
      <c r="N231">
        <v>5</v>
      </c>
      <c r="O231" s="6">
        <v>775153.58</v>
      </c>
      <c r="P231" s="6">
        <v>775153.58</v>
      </c>
      <c r="Q231">
        <v>0.31774613819999997</v>
      </c>
      <c r="R231">
        <v>5</v>
      </c>
    </row>
    <row r="232" spans="1:18" x14ac:dyDescent="0.3">
      <c r="A232" t="s">
        <v>376</v>
      </c>
      <c r="B232" t="s">
        <v>210</v>
      </c>
      <c r="C232">
        <v>500</v>
      </c>
      <c r="D232">
        <v>50</v>
      </c>
      <c r="E232" s="1">
        <v>0.99799199999999999</v>
      </c>
      <c r="F232">
        <v>777232.88</v>
      </c>
      <c r="G232">
        <v>777232.87999999803</v>
      </c>
      <c r="H232">
        <v>777232.88</v>
      </c>
      <c r="I232">
        <v>0.28092899999999998</v>
      </c>
      <c r="J232">
        <v>5</v>
      </c>
      <c r="K232">
        <v>777232.88</v>
      </c>
      <c r="L232">
        <v>777232.88</v>
      </c>
      <c r="M232">
        <v>5.6350000000000003E-3</v>
      </c>
      <c r="N232">
        <v>5</v>
      </c>
      <c r="O232" s="6">
        <v>777232.88</v>
      </c>
      <c r="P232" s="6">
        <v>777232.88</v>
      </c>
      <c r="Q232">
        <v>1.349009532</v>
      </c>
      <c r="R232">
        <v>5</v>
      </c>
    </row>
    <row r="233" spans="1:18" x14ac:dyDescent="0.3">
      <c r="A233" t="s">
        <v>376</v>
      </c>
      <c r="B233" t="s">
        <v>211</v>
      </c>
      <c r="C233">
        <v>500</v>
      </c>
      <c r="D233">
        <v>50</v>
      </c>
      <c r="E233" s="1">
        <v>0.998</v>
      </c>
      <c r="F233">
        <v>779168.62</v>
      </c>
      <c r="G233">
        <v>779168.62</v>
      </c>
      <c r="H233">
        <v>779168.62000000104</v>
      </c>
      <c r="I233">
        <v>2.2439000000000001E-2</v>
      </c>
      <c r="J233">
        <v>5</v>
      </c>
      <c r="K233">
        <v>779168.61999999895</v>
      </c>
      <c r="L233">
        <v>779168.62</v>
      </c>
      <c r="M233">
        <v>3.875E-3</v>
      </c>
      <c r="N233">
        <v>5</v>
      </c>
      <c r="O233" s="6">
        <v>779168.62</v>
      </c>
      <c r="P233" s="6">
        <v>779168.62</v>
      </c>
      <c r="Q233">
        <v>0.63222475680000001</v>
      </c>
      <c r="R233">
        <v>5</v>
      </c>
    </row>
    <row r="234" spans="1:18" x14ac:dyDescent="0.3">
      <c r="A234" t="s">
        <v>376</v>
      </c>
      <c r="B234" t="s">
        <v>212</v>
      </c>
      <c r="C234">
        <v>500</v>
      </c>
      <c r="D234">
        <v>50</v>
      </c>
      <c r="E234" s="1">
        <v>0.99798399999999998</v>
      </c>
      <c r="F234">
        <v>774802.05</v>
      </c>
      <c r="G234">
        <v>774802.05000000203</v>
      </c>
      <c r="H234">
        <v>774802.05000000203</v>
      </c>
      <c r="I234">
        <v>0.36542400000000003</v>
      </c>
      <c r="J234">
        <v>5</v>
      </c>
      <c r="K234">
        <v>774802.05000000098</v>
      </c>
      <c r="L234">
        <v>774802.05000000098</v>
      </c>
      <c r="M234">
        <v>1.8862E-2</v>
      </c>
      <c r="N234">
        <v>5</v>
      </c>
      <c r="O234" s="6">
        <v>774802.05</v>
      </c>
      <c r="P234" s="6">
        <v>774802.05</v>
      </c>
      <c r="Q234">
        <v>2.3238575909999999</v>
      </c>
      <c r="R234">
        <v>5</v>
      </c>
    </row>
    <row r="235" spans="1:18" x14ac:dyDescent="0.3">
      <c r="A235" s="8" t="s">
        <v>377</v>
      </c>
      <c r="B235" s="8"/>
      <c r="C235" s="8">
        <v>500</v>
      </c>
      <c r="D235" s="8"/>
      <c r="E235" s="9"/>
      <c r="F235" s="8"/>
      <c r="G235" s="8">
        <v>0</v>
      </c>
      <c r="H235" s="8">
        <v>0</v>
      </c>
      <c r="I235" s="8">
        <f>AVERAGE(I215:I234)</f>
        <v>0.23396545000000005</v>
      </c>
      <c r="J235" s="8">
        <f>SUM(J215:J234)</f>
        <v>100</v>
      </c>
      <c r="K235" s="8">
        <v>0</v>
      </c>
      <c r="L235" s="8">
        <v>0</v>
      </c>
      <c r="M235" s="8">
        <f>AVERAGE(M215:M234)</f>
        <v>7.6463999999999976E-3</v>
      </c>
      <c r="N235" s="8">
        <f>SUM(N215:N234)</f>
        <v>100</v>
      </c>
      <c r="O235" s="11">
        <v>0</v>
      </c>
      <c r="P235" s="11">
        <v>0</v>
      </c>
      <c r="Q235" s="8">
        <f>AVERAGE(Q215:Q234)</f>
        <v>0.93875093741000004</v>
      </c>
      <c r="R235" s="8">
        <f>SUM(R215:R234)</f>
        <v>100</v>
      </c>
    </row>
    <row r="236" spans="1:18" x14ac:dyDescent="0.3">
      <c r="A236" t="s">
        <v>378</v>
      </c>
      <c r="B236" t="s">
        <v>213</v>
      </c>
      <c r="C236">
        <v>3000</v>
      </c>
      <c r="D236">
        <v>400</v>
      </c>
      <c r="E236" s="1">
        <v>0.99868155999999997</v>
      </c>
      <c r="F236">
        <v>43476251</v>
      </c>
      <c r="G236">
        <v>43464170</v>
      </c>
      <c r="H236">
        <v>43461617.200000003</v>
      </c>
      <c r="I236" t="s">
        <v>9</v>
      </c>
      <c r="J236">
        <v>0</v>
      </c>
      <c r="K236">
        <v>43465561</v>
      </c>
      <c r="L236">
        <v>43465561</v>
      </c>
      <c r="M236" t="s">
        <v>9</v>
      </c>
      <c r="N236">
        <v>0</v>
      </c>
      <c r="O236" s="5">
        <v>43465561</v>
      </c>
      <c r="P236" s="4">
        <v>43465282.799999997</v>
      </c>
      <c r="Q236" t="s">
        <v>9</v>
      </c>
      <c r="R236">
        <v>0</v>
      </c>
    </row>
    <row r="237" spans="1:18" x14ac:dyDescent="0.3">
      <c r="A237" t="s">
        <v>378</v>
      </c>
      <c r="B237" t="s">
        <v>214</v>
      </c>
      <c r="C237">
        <v>3000</v>
      </c>
      <c r="D237">
        <v>500</v>
      </c>
      <c r="E237" s="1">
        <v>0.99868266999999999</v>
      </c>
      <c r="F237">
        <v>67021132</v>
      </c>
      <c r="G237">
        <v>67013769</v>
      </c>
      <c r="H237">
        <v>67012027.399999902</v>
      </c>
      <c r="I237" t="s">
        <v>9</v>
      </c>
      <c r="J237">
        <v>0</v>
      </c>
      <c r="K237">
        <v>67021132</v>
      </c>
      <c r="L237">
        <v>67021132</v>
      </c>
      <c r="M237">
        <v>35.753442999999997</v>
      </c>
      <c r="N237">
        <v>5</v>
      </c>
      <c r="O237" s="5">
        <v>67020376</v>
      </c>
      <c r="P237" s="4">
        <v>67019102.799999997</v>
      </c>
      <c r="Q237" t="s">
        <v>9</v>
      </c>
      <c r="R237">
        <v>0</v>
      </c>
    </row>
    <row r="238" spans="1:18" x14ac:dyDescent="0.3">
      <c r="A238" t="s">
        <v>378</v>
      </c>
      <c r="B238" t="s">
        <v>215</v>
      </c>
      <c r="C238">
        <v>3000</v>
      </c>
      <c r="D238">
        <v>500</v>
      </c>
      <c r="E238" s="1">
        <v>0.99869089</v>
      </c>
      <c r="F238">
        <v>67021888</v>
      </c>
      <c r="G238">
        <v>67008740</v>
      </c>
      <c r="H238">
        <v>66999458</v>
      </c>
      <c r="I238" t="s">
        <v>9</v>
      </c>
      <c r="J238">
        <v>0</v>
      </c>
      <c r="K238">
        <v>67014170</v>
      </c>
      <c r="L238">
        <v>67014170</v>
      </c>
      <c r="M238" t="s">
        <v>9</v>
      </c>
      <c r="N238">
        <v>0</v>
      </c>
      <c r="O238" s="5">
        <v>67008740</v>
      </c>
      <c r="P238" s="4">
        <v>67001704</v>
      </c>
      <c r="Q238" t="s">
        <v>9</v>
      </c>
      <c r="R238">
        <v>0</v>
      </c>
    </row>
    <row r="239" spans="1:18" x14ac:dyDescent="0.3">
      <c r="A239" t="s">
        <v>378</v>
      </c>
      <c r="B239" t="s">
        <v>216</v>
      </c>
      <c r="C239">
        <v>3000</v>
      </c>
      <c r="D239">
        <v>500</v>
      </c>
      <c r="E239" s="1">
        <v>0.99866977999999995</v>
      </c>
      <c r="F239">
        <v>67024373</v>
      </c>
      <c r="G239">
        <v>67024373</v>
      </c>
      <c r="H239">
        <v>67011841.399999902</v>
      </c>
      <c r="I239">
        <v>39.913885999999998</v>
      </c>
      <c r="J239">
        <v>1</v>
      </c>
      <c r="K239">
        <v>67024373</v>
      </c>
      <c r="L239">
        <v>67024373</v>
      </c>
      <c r="M239">
        <v>15.106261</v>
      </c>
      <c r="N239">
        <v>5</v>
      </c>
      <c r="O239" s="5">
        <v>67024373</v>
      </c>
      <c r="P239" s="4">
        <v>67020504.799999997</v>
      </c>
      <c r="Q239">
        <v>9.4866057850000001</v>
      </c>
      <c r="R239">
        <v>2</v>
      </c>
    </row>
    <row r="240" spans="1:18" x14ac:dyDescent="0.3">
      <c r="A240" t="s">
        <v>378</v>
      </c>
      <c r="B240" t="s">
        <v>217</v>
      </c>
      <c r="C240">
        <v>3000</v>
      </c>
      <c r="D240">
        <v>500</v>
      </c>
      <c r="E240" s="1">
        <v>0.99869244000000001</v>
      </c>
      <c r="F240">
        <v>67030190</v>
      </c>
      <c r="G240">
        <v>67030190</v>
      </c>
      <c r="H240">
        <v>67014410.7999999</v>
      </c>
      <c r="I240">
        <v>25.903229</v>
      </c>
      <c r="J240">
        <v>1</v>
      </c>
      <c r="K240">
        <v>67030190</v>
      </c>
      <c r="L240">
        <v>67030190</v>
      </c>
      <c r="M240">
        <v>27.106506</v>
      </c>
      <c r="N240">
        <v>5</v>
      </c>
      <c r="O240" s="5">
        <v>67029196</v>
      </c>
      <c r="P240" s="4">
        <v>67023660.799999997</v>
      </c>
      <c r="Q240" t="s">
        <v>9</v>
      </c>
      <c r="R240">
        <v>0</v>
      </c>
    </row>
    <row r="241" spans="1:18" x14ac:dyDescent="0.3">
      <c r="A241" t="s">
        <v>378</v>
      </c>
      <c r="B241" t="s">
        <v>218</v>
      </c>
      <c r="C241">
        <v>3000</v>
      </c>
      <c r="D241">
        <v>500</v>
      </c>
      <c r="E241" s="1">
        <v>0.99866222000000004</v>
      </c>
      <c r="F241">
        <v>67056334</v>
      </c>
      <c r="G241">
        <v>67053213</v>
      </c>
      <c r="H241">
        <v>67050241.600000001</v>
      </c>
      <c r="I241" t="s">
        <v>9</v>
      </c>
      <c r="J241">
        <v>0</v>
      </c>
      <c r="K241">
        <v>67056334</v>
      </c>
      <c r="L241">
        <v>67055186.200000003</v>
      </c>
      <c r="M241">
        <v>23.079847000000001</v>
      </c>
      <c r="N241">
        <v>2</v>
      </c>
      <c r="O241" s="5">
        <v>67056334</v>
      </c>
      <c r="P241" s="4">
        <v>67054297.799999997</v>
      </c>
      <c r="Q241">
        <v>4.3040347790000002</v>
      </c>
      <c r="R241">
        <v>1</v>
      </c>
    </row>
    <row r="242" spans="1:18" x14ac:dyDescent="0.3">
      <c r="A242" t="s">
        <v>378</v>
      </c>
      <c r="B242" t="s">
        <v>219</v>
      </c>
      <c r="C242">
        <v>3000</v>
      </c>
      <c r="D242">
        <v>600</v>
      </c>
      <c r="E242" s="1">
        <v>0.99866200000000005</v>
      </c>
      <c r="F242">
        <v>95638929</v>
      </c>
      <c r="G242">
        <v>95638929</v>
      </c>
      <c r="H242">
        <v>95633522.599999905</v>
      </c>
      <c r="I242">
        <v>43.836725000000001</v>
      </c>
      <c r="J242">
        <v>1</v>
      </c>
      <c r="K242">
        <v>95638929</v>
      </c>
      <c r="L242">
        <v>95638689.799999893</v>
      </c>
      <c r="M242">
        <v>24.272949000000001</v>
      </c>
      <c r="N242">
        <v>4</v>
      </c>
      <c r="O242" s="5">
        <v>95638929</v>
      </c>
      <c r="P242" s="4">
        <v>95635514.799999997</v>
      </c>
      <c r="Q242">
        <v>39.391858040000002</v>
      </c>
      <c r="R242">
        <v>1</v>
      </c>
    </row>
    <row r="243" spans="1:18" x14ac:dyDescent="0.3">
      <c r="A243" t="s">
        <v>378</v>
      </c>
      <c r="B243" t="s">
        <v>220</v>
      </c>
      <c r="C243">
        <v>3000</v>
      </c>
      <c r="D243">
        <v>600</v>
      </c>
      <c r="E243" s="1">
        <v>0.99865778000000005</v>
      </c>
      <c r="F243">
        <v>95645826</v>
      </c>
      <c r="G243">
        <v>95563624</v>
      </c>
      <c r="H243">
        <v>95555581.400000006</v>
      </c>
      <c r="I243" t="s">
        <v>9</v>
      </c>
      <c r="J243">
        <v>0</v>
      </c>
      <c r="K243">
        <v>95571113</v>
      </c>
      <c r="L243">
        <v>95571113</v>
      </c>
      <c r="M243" t="s">
        <v>9</v>
      </c>
      <c r="N243">
        <v>0</v>
      </c>
      <c r="O243" s="5">
        <v>95570916</v>
      </c>
      <c r="P243" s="4">
        <v>95565209.400000006</v>
      </c>
      <c r="Q243" t="s">
        <v>9</v>
      </c>
      <c r="R243">
        <v>0</v>
      </c>
    </row>
    <row r="244" spans="1:18" x14ac:dyDescent="0.3">
      <c r="A244" t="s">
        <v>378</v>
      </c>
      <c r="B244" t="s">
        <v>221</v>
      </c>
      <c r="C244">
        <v>3000</v>
      </c>
      <c r="D244">
        <v>600</v>
      </c>
      <c r="E244" s="1">
        <v>0.99864733000000006</v>
      </c>
      <c r="F244">
        <v>95629207</v>
      </c>
      <c r="G244">
        <v>95525115</v>
      </c>
      <c r="H244">
        <v>95521123.599999905</v>
      </c>
      <c r="I244" t="s">
        <v>9</v>
      </c>
      <c r="J244">
        <v>0</v>
      </c>
      <c r="K244">
        <v>95532141</v>
      </c>
      <c r="L244">
        <v>95528844.400000006</v>
      </c>
      <c r="M244" t="s">
        <v>9</v>
      </c>
      <c r="N244">
        <v>0</v>
      </c>
      <c r="O244" s="5">
        <v>95532141</v>
      </c>
      <c r="P244" s="4">
        <v>95529236.400000006</v>
      </c>
      <c r="Q244" t="s">
        <v>9</v>
      </c>
      <c r="R244">
        <v>0</v>
      </c>
    </row>
    <row r="245" spans="1:18" x14ac:dyDescent="0.3">
      <c r="A245" t="s">
        <v>378</v>
      </c>
      <c r="B245" t="s">
        <v>222</v>
      </c>
      <c r="C245">
        <v>3000</v>
      </c>
      <c r="D245">
        <v>600</v>
      </c>
      <c r="E245" s="1">
        <v>0.99867644</v>
      </c>
      <c r="F245">
        <v>95633549</v>
      </c>
      <c r="G245">
        <v>95594457</v>
      </c>
      <c r="H245">
        <v>95591579.200000003</v>
      </c>
      <c r="I245" t="s">
        <v>9</v>
      </c>
      <c r="J245">
        <v>0</v>
      </c>
      <c r="K245">
        <v>95599164</v>
      </c>
      <c r="L245">
        <v>95599014.799999893</v>
      </c>
      <c r="M245" t="s">
        <v>9</v>
      </c>
      <c r="N245">
        <v>0</v>
      </c>
      <c r="O245" s="5">
        <v>95597788</v>
      </c>
      <c r="P245" s="4">
        <v>95591913.799999997</v>
      </c>
      <c r="Q245" t="s">
        <v>9</v>
      </c>
      <c r="R245">
        <v>0</v>
      </c>
    </row>
    <row r="246" spans="1:18" x14ac:dyDescent="0.3">
      <c r="A246" t="s">
        <v>378</v>
      </c>
      <c r="B246" t="s">
        <v>223</v>
      </c>
      <c r="C246">
        <v>3000</v>
      </c>
      <c r="D246">
        <v>300</v>
      </c>
      <c r="E246" s="1">
        <v>0.99868199999999996</v>
      </c>
      <c r="F246">
        <v>24926344</v>
      </c>
      <c r="G246">
        <v>24921333</v>
      </c>
      <c r="H246">
        <v>24919861</v>
      </c>
      <c r="I246" t="s">
        <v>9</v>
      </c>
      <c r="J246">
        <v>0</v>
      </c>
      <c r="K246">
        <v>24926344</v>
      </c>
      <c r="L246">
        <v>24925400</v>
      </c>
      <c r="M246">
        <v>17.685158999999999</v>
      </c>
      <c r="N246">
        <v>3</v>
      </c>
      <c r="O246" s="5">
        <v>24926344</v>
      </c>
      <c r="P246" s="4">
        <v>24925002.600000001</v>
      </c>
      <c r="Q246">
        <v>39.115735340000001</v>
      </c>
      <c r="R246">
        <v>2</v>
      </c>
    </row>
    <row r="247" spans="1:18" x14ac:dyDescent="0.3">
      <c r="A247" t="s">
        <v>378</v>
      </c>
      <c r="B247" t="s">
        <v>224</v>
      </c>
      <c r="C247">
        <v>3000</v>
      </c>
      <c r="D247">
        <v>600</v>
      </c>
      <c r="E247" s="1">
        <v>0.99867932999999998</v>
      </c>
      <c r="F247">
        <v>95643586</v>
      </c>
      <c r="G247">
        <v>95577919</v>
      </c>
      <c r="H247">
        <v>95569212.400000006</v>
      </c>
      <c r="I247" t="s">
        <v>9</v>
      </c>
      <c r="J247">
        <v>0</v>
      </c>
      <c r="K247">
        <v>95584482</v>
      </c>
      <c r="L247">
        <v>95584482</v>
      </c>
      <c r="M247" t="s">
        <v>9</v>
      </c>
      <c r="N247">
        <v>0</v>
      </c>
      <c r="O247" s="5">
        <v>95584482</v>
      </c>
      <c r="P247" s="4">
        <v>95582758.799999997</v>
      </c>
      <c r="Q247" t="s">
        <v>9</v>
      </c>
      <c r="R247">
        <v>0</v>
      </c>
    </row>
    <row r="248" spans="1:18" x14ac:dyDescent="0.3">
      <c r="A248" t="s">
        <v>378</v>
      </c>
      <c r="B248" t="s">
        <v>225</v>
      </c>
      <c r="C248">
        <v>3000</v>
      </c>
      <c r="D248">
        <v>300</v>
      </c>
      <c r="E248" s="1">
        <v>0.99868310999999999</v>
      </c>
      <c r="F248">
        <v>24912546</v>
      </c>
      <c r="G248">
        <v>24903846</v>
      </c>
      <c r="H248">
        <v>24900661.600000001</v>
      </c>
      <c r="I248" t="s">
        <v>9</v>
      </c>
      <c r="J248">
        <v>0</v>
      </c>
      <c r="K248">
        <v>24912422</v>
      </c>
      <c r="L248">
        <v>24911029.800000001</v>
      </c>
      <c r="M248" t="s">
        <v>9</v>
      </c>
      <c r="N248">
        <v>0</v>
      </c>
      <c r="O248" s="5">
        <v>24912422</v>
      </c>
      <c r="P248" s="4">
        <v>24910869.199999999</v>
      </c>
      <c r="Q248" t="s">
        <v>9</v>
      </c>
      <c r="R248">
        <v>0</v>
      </c>
    </row>
    <row r="249" spans="1:18" x14ac:dyDescent="0.3">
      <c r="A249" t="s">
        <v>378</v>
      </c>
      <c r="B249" t="s">
        <v>226</v>
      </c>
      <c r="C249">
        <v>3000</v>
      </c>
      <c r="D249">
        <v>300</v>
      </c>
      <c r="E249" s="1">
        <v>0.99870311000000001</v>
      </c>
      <c r="F249">
        <v>24905218</v>
      </c>
      <c r="G249">
        <v>24895716</v>
      </c>
      <c r="H249">
        <v>24890456.600000001</v>
      </c>
      <c r="I249" t="s">
        <v>9</v>
      </c>
      <c r="J249">
        <v>0</v>
      </c>
      <c r="K249">
        <v>24905218</v>
      </c>
      <c r="L249">
        <v>24900725.800000001</v>
      </c>
      <c r="M249">
        <v>51.515501</v>
      </c>
      <c r="N249">
        <v>2</v>
      </c>
      <c r="O249" s="5">
        <v>24905218</v>
      </c>
      <c r="P249" s="4">
        <v>24901822.600000001</v>
      </c>
      <c r="Q249">
        <v>41.196900249999999</v>
      </c>
      <c r="R249">
        <v>2</v>
      </c>
    </row>
    <row r="250" spans="1:18" x14ac:dyDescent="0.3">
      <c r="A250" t="s">
        <v>378</v>
      </c>
      <c r="B250" t="s">
        <v>227</v>
      </c>
      <c r="C250">
        <v>3000</v>
      </c>
      <c r="D250">
        <v>300</v>
      </c>
      <c r="E250" s="1">
        <v>0.99867711000000003</v>
      </c>
      <c r="F250">
        <v>24909710</v>
      </c>
      <c r="G250">
        <v>24904986</v>
      </c>
      <c r="H250">
        <v>24902546.600000001</v>
      </c>
      <c r="I250" t="s">
        <v>9</v>
      </c>
      <c r="J250">
        <v>0</v>
      </c>
      <c r="K250">
        <v>24909710</v>
      </c>
      <c r="L250">
        <v>24907950</v>
      </c>
      <c r="M250">
        <v>16.820364999999999</v>
      </c>
      <c r="N250">
        <v>2</v>
      </c>
      <c r="O250" s="5">
        <v>24905430</v>
      </c>
      <c r="P250" s="4">
        <v>24904629.399999999</v>
      </c>
      <c r="Q250" t="s">
        <v>9</v>
      </c>
      <c r="R250">
        <v>0</v>
      </c>
    </row>
    <row r="251" spans="1:18" x14ac:dyDescent="0.3">
      <c r="A251" t="s">
        <v>378</v>
      </c>
      <c r="B251" t="s">
        <v>228</v>
      </c>
      <c r="C251">
        <v>3000</v>
      </c>
      <c r="D251">
        <v>300</v>
      </c>
      <c r="E251" s="1">
        <v>0.99868511000000004</v>
      </c>
      <c r="F251">
        <v>24899703</v>
      </c>
      <c r="G251">
        <v>24892612</v>
      </c>
      <c r="H251">
        <v>24890069</v>
      </c>
      <c r="I251" t="s">
        <v>9</v>
      </c>
      <c r="J251">
        <v>0</v>
      </c>
      <c r="K251">
        <v>24895704</v>
      </c>
      <c r="L251">
        <v>24895005.399999902</v>
      </c>
      <c r="M251" t="s">
        <v>9</v>
      </c>
      <c r="N251">
        <v>0</v>
      </c>
      <c r="O251" s="5">
        <v>24895311</v>
      </c>
      <c r="P251" s="4">
        <v>24894394</v>
      </c>
      <c r="Q251" t="s">
        <v>9</v>
      </c>
      <c r="R251">
        <v>0</v>
      </c>
    </row>
    <row r="252" spans="1:18" x14ac:dyDescent="0.3">
      <c r="A252" t="s">
        <v>378</v>
      </c>
      <c r="B252" t="s">
        <v>229</v>
      </c>
      <c r="C252">
        <v>3000</v>
      </c>
      <c r="D252">
        <v>400</v>
      </c>
      <c r="E252" s="1">
        <v>0.998672</v>
      </c>
      <c r="F252">
        <v>43465087</v>
      </c>
      <c r="G252">
        <v>43440245</v>
      </c>
      <c r="H252">
        <v>43436259.600000001</v>
      </c>
      <c r="I252" t="s">
        <v>9</v>
      </c>
      <c r="J252">
        <v>0</v>
      </c>
      <c r="K252">
        <v>43444948</v>
      </c>
      <c r="L252">
        <v>43444264</v>
      </c>
      <c r="M252" t="s">
        <v>9</v>
      </c>
      <c r="N252">
        <v>0</v>
      </c>
      <c r="O252" s="5">
        <v>43440879</v>
      </c>
      <c r="P252" s="4">
        <v>43438890</v>
      </c>
      <c r="Q252" t="s">
        <v>9</v>
      </c>
      <c r="R252">
        <v>0</v>
      </c>
    </row>
    <row r="253" spans="1:18" x14ac:dyDescent="0.3">
      <c r="A253" t="s">
        <v>378</v>
      </c>
      <c r="B253" t="s">
        <v>230</v>
      </c>
      <c r="C253">
        <v>3000</v>
      </c>
      <c r="D253">
        <v>400</v>
      </c>
      <c r="E253" s="1">
        <v>0.99869467000000001</v>
      </c>
      <c r="F253">
        <v>43477267</v>
      </c>
      <c r="G253">
        <v>43477163</v>
      </c>
      <c r="H253">
        <v>43468569.399999902</v>
      </c>
      <c r="I253" t="s">
        <v>9</v>
      </c>
      <c r="J253">
        <v>0</v>
      </c>
      <c r="K253">
        <v>43477267</v>
      </c>
      <c r="L253">
        <v>43477267</v>
      </c>
      <c r="M253">
        <v>21.210605000000001</v>
      </c>
      <c r="N253">
        <v>5</v>
      </c>
      <c r="O253" s="5">
        <v>43477267</v>
      </c>
      <c r="P253" s="4">
        <v>43475851.399999999</v>
      </c>
      <c r="Q253">
        <v>4.0992969669999999</v>
      </c>
      <c r="R253">
        <v>1</v>
      </c>
    </row>
    <row r="254" spans="1:18" x14ac:dyDescent="0.3">
      <c r="A254" t="s">
        <v>378</v>
      </c>
      <c r="B254" t="s">
        <v>231</v>
      </c>
      <c r="C254">
        <v>3000</v>
      </c>
      <c r="D254">
        <v>400</v>
      </c>
      <c r="E254" s="1">
        <v>0.99867821999999995</v>
      </c>
      <c r="F254">
        <v>43465572</v>
      </c>
      <c r="G254">
        <v>43461728</v>
      </c>
      <c r="H254">
        <v>43456187</v>
      </c>
      <c r="I254" t="s">
        <v>9</v>
      </c>
      <c r="J254">
        <v>0</v>
      </c>
      <c r="K254">
        <v>43465572</v>
      </c>
      <c r="L254">
        <v>43464324</v>
      </c>
      <c r="M254">
        <v>24.897224000000001</v>
      </c>
      <c r="N254">
        <v>3</v>
      </c>
      <c r="O254" s="5">
        <v>43465572</v>
      </c>
      <c r="P254" s="4">
        <v>43463450.399999999</v>
      </c>
      <c r="Q254">
        <v>37.453259660000001</v>
      </c>
      <c r="R254">
        <v>1</v>
      </c>
    </row>
    <row r="255" spans="1:18" x14ac:dyDescent="0.3">
      <c r="A255" t="s">
        <v>378</v>
      </c>
      <c r="B255" t="s">
        <v>232</v>
      </c>
      <c r="C255">
        <v>3000</v>
      </c>
      <c r="D255">
        <v>400</v>
      </c>
      <c r="E255" s="1">
        <v>0.99867600000000001</v>
      </c>
      <c r="F255">
        <v>43448137</v>
      </c>
      <c r="G255">
        <v>43447367</v>
      </c>
      <c r="H255">
        <v>43444839.600000001</v>
      </c>
      <c r="I255" t="s">
        <v>9</v>
      </c>
      <c r="J255">
        <v>0</v>
      </c>
      <c r="K255">
        <v>43448137</v>
      </c>
      <c r="L255">
        <v>43447947.399999902</v>
      </c>
      <c r="M255">
        <v>21.479648999999998</v>
      </c>
      <c r="N255">
        <v>1</v>
      </c>
      <c r="O255" s="5">
        <v>43448137</v>
      </c>
      <c r="P255" s="4">
        <v>43447697.600000001</v>
      </c>
      <c r="Q255">
        <v>22.50545237</v>
      </c>
      <c r="R255">
        <v>3</v>
      </c>
    </row>
    <row r="256" spans="1:18" x14ac:dyDescent="0.3">
      <c r="A256" s="8" t="s">
        <v>379</v>
      </c>
      <c r="B256" s="8"/>
      <c r="C256" s="8">
        <v>3000</v>
      </c>
      <c r="D256" s="8"/>
      <c r="E256" s="9"/>
      <c r="F256" s="8"/>
      <c r="G256" s="8">
        <f t="array" ref="G256">AVERAGE((F236:F255-G236:G255)/F236:F255)</f>
        <v>2.8800199951982885E-4</v>
      </c>
      <c r="H256" s="8">
        <f t="array" ref="H256">AVERAGE((F236:F255-H236:H255)/F236:F255)</f>
        <v>3.9132569547953012E-4</v>
      </c>
      <c r="I256" s="8" t="s">
        <v>9</v>
      </c>
      <c r="J256" s="8">
        <f>SUM(J236:J255)</f>
        <v>3</v>
      </c>
      <c r="K256" s="8">
        <f t="array" ref="K256">AVERAGE((F236:F255-K236:K255)/F236:F255)</f>
        <v>1.8818171579320272E-4</v>
      </c>
      <c r="L256" s="8">
        <f t="array" ref="L256">AVERAGE((F236:F255-L236:L255)/F236:F255)</f>
        <v>2.1204684058721482E-4</v>
      </c>
      <c r="M256" s="8" t="s">
        <v>9</v>
      </c>
      <c r="N256" s="8">
        <f>SUM(N236:N255)</f>
        <v>37</v>
      </c>
      <c r="O256" s="10">
        <f t="array" ref="O256">AVERAGE((F236:F255-O236:O255)/F236:F255)</f>
        <v>2.0842144795972422E-4</v>
      </c>
      <c r="P256" s="10">
        <f t="array" ref="P256">AVERAGE((F236:F255-P236:P255)/F236:F255)</f>
        <v>2.5666646118477539E-4</v>
      </c>
      <c r="Q256" s="8" t="s">
        <v>9</v>
      </c>
      <c r="R256" s="8">
        <f>SUM(R236:R255)</f>
        <v>13</v>
      </c>
    </row>
    <row r="257" spans="1:18" x14ac:dyDescent="0.3">
      <c r="A257" t="s">
        <v>380</v>
      </c>
      <c r="B257" t="s">
        <v>233</v>
      </c>
      <c r="C257">
        <v>3000</v>
      </c>
      <c r="D257">
        <v>1500</v>
      </c>
      <c r="E257" s="1">
        <v>0.10016111</v>
      </c>
      <c r="F257">
        <v>6502330</v>
      </c>
      <c r="G257">
        <v>6502255</v>
      </c>
      <c r="H257">
        <v>6502041.2000000002</v>
      </c>
      <c r="I257" t="s">
        <v>9</v>
      </c>
      <c r="J257">
        <v>0</v>
      </c>
      <c r="K257">
        <v>6502330</v>
      </c>
      <c r="L257">
        <v>6502280.5999999996</v>
      </c>
      <c r="M257">
        <v>43.206366000000003</v>
      </c>
      <c r="N257">
        <v>2</v>
      </c>
      <c r="O257" s="5">
        <v>6502330</v>
      </c>
      <c r="P257" s="4">
        <v>6502250</v>
      </c>
      <c r="Q257">
        <v>28.117170999999999</v>
      </c>
      <c r="R257">
        <v>2</v>
      </c>
    </row>
    <row r="258" spans="1:18" x14ac:dyDescent="0.3">
      <c r="A258" t="s">
        <v>380</v>
      </c>
      <c r="B258" t="s">
        <v>234</v>
      </c>
      <c r="C258">
        <v>3000</v>
      </c>
      <c r="D258">
        <v>1500</v>
      </c>
      <c r="E258" s="1">
        <v>0.29962422</v>
      </c>
      <c r="F258">
        <v>18272568</v>
      </c>
      <c r="G258">
        <v>18272568</v>
      </c>
      <c r="H258">
        <v>18272351</v>
      </c>
      <c r="I258">
        <v>4.1308980000000002</v>
      </c>
      <c r="J258">
        <v>1</v>
      </c>
      <c r="K258">
        <v>18272568</v>
      </c>
      <c r="L258">
        <v>18272568</v>
      </c>
      <c r="M258">
        <v>4.6522610000000002</v>
      </c>
      <c r="N258">
        <v>5</v>
      </c>
      <c r="O258" s="5">
        <v>18272568</v>
      </c>
      <c r="P258" s="4">
        <v>18272546.600000001</v>
      </c>
      <c r="Q258">
        <v>24.0701927</v>
      </c>
      <c r="R258">
        <v>4</v>
      </c>
    </row>
    <row r="259" spans="1:18" x14ac:dyDescent="0.3">
      <c r="A259" t="s">
        <v>380</v>
      </c>
      <c r="B259" t="s">
        <v>235</v>
      </c>
      <c r="C259">
        <v>3000</v>
      </c>
      <c r="D259">
        <v>1500</v>
      </c>
      <c r="E259" s="1">
        <v>0.49969467000000001</v>
      </c>
      <c r="F259">
        <v>29867138</v>
      </c>
      <c r="G259">
        <v>29866911</v>
      </c>
      <c r="H259">
        <v>29866613.199999899</v>
      </c>
      <c r="I259" t="s">
        <v>9</v>
      </c>
      <c r="J259">
        <v>0</v>
      </c>
      <c r="K259">
        <v>29867138</v>
      </c>
      <c r="L259">
        <v>29867138</v>
      </c>
      <c r="M259">
        <v>5.6205030000000002</v>
      </c>
      <c r="N259">
        <v>5</v>
      </c>
      <c r="O259" s="5">
        <v>29867138</v>
      </c>
      <c r="P259" s="4">
        <v>29867096.199999999</v>
      </c>
      <c r="Q259">
        <v>17.43273434</v>
      </c>
      <c r="R259">
        <v>4</v>
      </c>
    </row>
    <row r="260" spans="1:18" x14ac:dyDescent="0.3">
      <c r="A260" t="s">
        <v>380</v>
      </c>
      <c r="B260" t="s">
        <v>236</v>
      </c>
      <c r="C260">
        <v>3000</v>
      </c>
      <c r="D260">
        <v>1500</v>
      </c>
      <c r="E260" s="1">
        <v>0.79987843999999997</v>
      </c>
      <c r="F260">
        <v>46915044</v>
      </c>
      <c r="G260">
        <v>46915044</v>
      </c>
      <c r="H260">
        <v>46914897</v>
      </c>
      <c r="I260">
        <v>3.0411619999999999</v>
      </c>
      <c r="J260">
        <v>1</v>
      </c>
      <c r="K260">
        <v>46915044</v>
      </c>
      <c r="L260">
        <v>46915044</v>
      </c>
      <c r="M260">
        <v>28.757072000000001</v>
      </c>
      <c r="N260">
        <v>5</v>
      </c>
      <c r="O260" s="5">
        <v>46915044</v>
      </c>
      <c r="P260" s="4">
        <v>46914962.799999997</v>
      </c>
      <c r="Q260">
        <v>26.938510560000001</v>
      </c>
      <c r="R260">
        <v>2</v>
      </c>
    </row>
    <row r="261" spans="1:18" x14ac:dyDescent="0.3">
      <c r="A261" t="s">
        <v>380</v>
      </c>
      <c r="B261" t="s">
        <v>237</v>
      </c>
      <c r="C261">
        <v>3000</v>
      </c>
      <c r="D261">
        <v>1500</v>
      </c>
      <c r="E261" s="1">
        <v>0.99966666999999998</v>
      </c>
      <c r="F261">
        <v>58095467</v>
      </c>
      <c r="G261">
        <v>58095467</v>
      </c>
      <c r="H261">
        <v>58095275</v>
      </c>
      <c r="I261">
        <v>8.3355999999999995</v>
      </c>
      <c r="J261">
        <v>2</v>
      </c>
      <c r="K261">
        <v>58095467</v>
      </c>
      <c r="L261">
        <v>58095467</v>
      </c>
      <c r="M261">
        <v>11.018241</v>
      </c>
      <c r="N261">
        <v>5</v>
      </c>
      <c r="O261" s="5">
        <v>58095467</v>
      </c>
      <c r="P261" s="4">
        <v>58095411.399999999</v>
      </c>
      <c r="Q261">
        <v>8.0606749129999997</v>
      </c>
      <c r="R261">
        <v>4</v>
      </c>
    </row>
    <row r="262" spans="1:18" x14ac:dyDescent="0.3">
      <c r="A262" t="s">
        <v>380</v>
      </c>
      <c r="B262" t="s">
        <v>238</v>
      </c>
      <c r="C262">
        <v>5000</v>
      </c>
      <c r="D262">
        <v>2500</v>
      </c>
      <c r="E262" s="1">
        <v>9.9826159999999997E-2</v>
      </c>
      <c r="F262">
        <v>17509433</v>
      </c>
      <c r="G262">
        <v>17509352</v>
      </c>
      <c r="H262">
        <v>17508171.600000001</v>
      </c>
      <c r="I262" t="s">
        <v>9</v>
      </c>
      <c r="J262">
        <v>0</v>
      </c>
      <c r="K262">
        <v>17509068</v>
      </c>
      <c r="L262">
        <v>17508889.600000001</v>
      </c>
      <c r="M262" t="s">
        <v>9</v>
      </c>
      <c r="N262">
        <v>0</v>
      </c>
      <c r="O262" s="5">
        <v>17508884</v>
      </c>
      <c r="P262" s="4">
        <v>17508731.600000001</v>
      </c>
      <c r="Q262" t="s">
        <v>9</v>
      </c>
      <c r="R262">
        <v>0</v>
      </c>
    </row>
    <row r="263" spans="1:18" x14ac:dyDescent="0.3">
      <c r="A263" t="s">
        <v>380</v>
      </c>
      <c r="B263" t="s">
        <v>239</v>
      </c>
      <c r="C263">
        <v>5000</v>
      </c>
      <c r="D263">
        <v>2500</v>
      </c>
      <c r="E263" s="1">
        <v>0.29971152000000001</v>
      </c>
      <c r="F263">
        <v>50103092</v>
      </c>
      <c r="G263">
        <v>50102024</v>
      </c>
      <c r="H263">
        <v>50101554.200000003</v>
      </c>
      <c r="I263" t="s">
        <v>9</v>
      </c>
      <c r="J263">
        <v>0</v>
      </c>
      <c r="K263">
        <v>50102854</v>
      </c>
      <c r="L263">
        <v>50102738.600000001</v>
      </c>
      <c r="M263" t="s">
        <v>9</v>
      </c>
      <c r="N263">
        <v>0</v>
      </c>
      <c r="O263" s="5">
        <v>50103022</v>
      </c>
      <c r="P263" s="4">
        <v>50102376.200000003</v>
      </c>
      <c r="Q263" t="s">
        <v>9</v>
      </c>
      <c r="R263">
        <v>0</v>
      </c>
    </row>
    <row r="264" spans="1:18" x14ac:dyDescent="0.3">
      <c r="A264" t="s">
        <v>380</v>
      </c>
      <c r="B264" t="s">
        <v>240</v>
      </c>
      <c r="C264">
        <v>5000</v>
      </c>
      <c r="D264">
        <v>2500</v>
      </c>
      <c r="E264" s="1">
        <v>0.49993312000000001</v>
      </c>
      <c r="F264">
        <v>82040316</v>
      </c>
      <c r="G264">
        <v>82036585</v>
      </c>
      <c r="H264">
        <v>82035747.200000003</v>
      </c>
      <c r="I264" t="s">
        <v>9</v>
      </c>
      <c r="J264">
        <v>0</v>
      </c>
      <c r="K264">
        <v>82040100</v>
      </c>
      <c r="L264">
        <v>82039521.200000003</v>
      </c>
      <c r="M264" t="s">
        <v>9</v>
      </c>
      <c r="N264">
        <v>0</v>
      </c>
      <c r="O264" s="5">
        <v>82039127</v>
      </c>
      <c r="P264" s="4">
        <v>82037425.599999994</v>
      </c>
      <c r="Q264" t="s">
        <v>9</v>
      </c>
      <c r="R264">
        <v>0</v>
      </c>
    </row>
    <row r="265" spans="1:18" x14ac:dyDescent="0.3">
      <c r="A265" t="s">
        <v>380</v>
      </c>
      <c r="B265" t="s">
        <v>241</v>
      </c>
      <c r="C265">
        <v>5000</v>
      </c>
      <c r="D265">
        <v>2500</v>
      </c>
      <c r="E265" s="1">
        <v>0.79976376000000005</v>
      </c>
      <c r="F265">
        <v>129413710</v>
      </c>
      <c r="G265">
        <v>129411662</v>
      </c>
      <c r="H265">
        <v>129411290</v>
      </c>
      <c r="I265" t="s">
        <v>9</v>
      </c>
      <c r="J265">
        <v>0</v>
      </c>
      <c r="K265">
        <v>129413466</v>
      </c>
      <c r="L265">
        <v>129413096.599999</v>
      </c>
      <c r="M265" t="s">
        <v>9</v>
      </c>
      <c r="N265">
        <v>0</v>
      </c>
      <c r="O265" s="5">
        <v>129413130</v>
      </c>
      <c r="P265" s="4">
        <v>129412464.40000001</v>
      </c>
      <c r="Q265" t="s">
        <v>9</v>
      </c>
      <c r="R265">
        <v>0</v>
      </c>
    </row>
    <row r="266" spans="1:18" x14ac:dyDescent="0.3">
      <c r="A266" t="s">
        <v>380</v>
      </c>
      <c r="B266" t="s">
        <v>242</v>
      </c>
      <c r="C266">
        <v>5000</v>
      </c>
      <c r="D266">
        <v>2500</v>
      </c>
      <c r="E266" s="1">
        <v>0.99980000000000002</v>
      </c>
      <c r="F266">
        <v>160598156</v>
      </c>
      <c r="G266">
        <v>160597896</v>
      </c>
      <c r="H266">
        <v>160597521</v>
      </c>
      <c r="I266" t="s">
        <v>9</v>
      </c>
      <c r="J266">
        <v>0</v>
      </c>
      <c r="K266">
        <v>160598020</v>
      </c>
      <c r="L266">
        <v>160597826.80000001</v>
      </c>
      <c r="M266" t="s">
        <v>9</v>
      </c>
      <c r="N266">
        <v>0</v>
      </c>
      <c r="O266" s="5">
        <v>160597859</v>
      </c>
      <c r="P266" s="4">
        <v>160597582.80000001</v>
      </c>
      <c r="Q266" t="s">
        <v>9</v>
      </c>
      <c r="R266">
        <v>0</v>
      </c>
    </row>
    <row r="267" spans="1:18" x14ac:dyDescent="0.3">
      <c r="A267" s="8" t="s">
        <v>381</v>
      </c>
      <c r="B267" s="8"/>
      <c r="C267" s="8" t="s">
        <v>357</v>
      </c>
      <c r="D267" s="8"/>
      <c r="E267" s="9"/>
      <c r="F267" s="8"/>
      <c r="G267" s="8">
        <f t="array" ref="G267">AVERAGE((F257:F266-G257:G266)/F257:F266)</f>
        <v>1.0799858576663856E-5</v>
      </c>
      <c r="H267" s="8">
        <f t="array" ref="H267">AVERAGE((F257:F266-H257:H266)/F257:F266)</f>
        <v>2.613772174381794E-5</v>
      </c>
      <c r="I267" s="8" t="s">
        <v>9</v>
      </c>
      <c r="J267" s="8">
        <f>SUM(J257:J266)</f>
        <v>4</v>
      </c>
      <c r="K267" s="8">
        <f t="array" ref="K267">AVERAGE((F257:F266-K257:K266)/F257:F266)</f>
        <v>3.0961224366842268E-6</v>
      </c>
      <c r="L267" s="8">
        <f t="array" ref="L267">AVERAGE((F257:F266-L257:L266)/F257:F266)</f>
        <v>6.216302791547017E-6</v>
      </c>
      <c r="M267" s="8" t="s">
        <v>9</v>
      </c>
      <c r="N267" s="8">
        <f>SUM(N257:N266)</f>
        <v>22</v>
      </c>
      <c r="O267" s="10">
        <f t="array" ref="O267">AVERAGE((F257:F266-O257:O266)/F257:F266)</f>
        <v>5.3575608518604454E-6</v>
      </c>
      <c r="P267" s="10">
        <f t="array" ref="P267">AVERAGE((F257:F266-P257:P266)/F257:F266)</f>
        <v>1.2033231401112437E-5</v>
      </c>
      <c r="Q267" s="8" t="s">
        <v>9</v>
      </c>
      <c r="R267" s="8">
        <f>SUM(R257:R266)</f>
        <v>16</v>
      </c>
    </row>
    <row r="268" spans="1:18" x14ac:dyDescent="0.3">
      <c r="A268" t="s">
        <v>382</v>
      </c>
      <c r="B268" t="s">
        <v>243</v>
      </c>
      <c r="C268">
        <v>300</v>
      </c>
      <c r="D268">
        <v>60</v>
      </c>
      <c r="E268" s="1">
        <v>0.89597777999999995</v>
      </c>
      <c r="F268">
        <v>9689</v>
      </c>
      <c r="G268">
        <v>9689</v>
      </c>
      <c r="H268">
        <v>9689</v>
      </c>
      <c r="I268">
        <v>3.2077000000000001E-2</v>
      </c>
      <c r="J268">
        <v>5</v>
      </c>
      <c r="K268">
        <v>9689</v>
      </c>
      <c r="L268">
        <v>9689</v>
      </c>
      <c r="M268">
        <v>3.6080000000000001E-3</v>
      </c>
      <c r="N268">
        <v>5</v>
      </c>
      <c r="O268" s="5">
        <v>9689</v>
      </c>
      <c r="P268" s="5">
        <v>9689</v>
      </c>
      <c r="Q268">
        <v>0.51234593299999998</v>
      </c>
      <c r="R268">
        <v>5</v>
      </c>
    </row>
    <row r="269" spans="1:18" x14ac:dyDescent="0.3">
      <c r="A269" t="s">
        <v>382</v>
      </c>
      <c r="B269" t="s">
        <v>244</v>
      </c>
      <c r="C269">
        <v>300</v>
      </c>
      <c r="D269">
        <v>90</v>
      </c>
      <c r="E269" s="1">
        <v>0.89684443999999996</v>
      </c>
      <c r="F269">
        <v>20743</v>
      </c>
      <c r="G269">
        <v>20743</v>
      </c>
      <c r="H269">
        <v>20743</v>
      </c>
      <c r="I269">
        <v>3.3013000000000001E-2</v>
      </c>
      <c r="J269">
        <v>5</v>
      </c>
      <c r="K269">
        <v>20743</v>
      </c>
      <c r="L269">
        <v>20743</v>
      </c>
      <c r="M269">
        <v>7.6360000000000004E-3</v>
      </c>
      <c r="N269">
        <v>5</v>
      </c>
      <c r="O269" s="5">
        <v>20743</v>
      </c>
      <c r="P269" s="5">
        <v>20743</v>
      </c>
      <c r="Q269">
        <v>0.3873564182</v>
      </c>
      <c r="R269">
        <v>5</v>
      </c>
    </row>
    <row r="270" spans="1:18" x14ac:dyDescent="0.3">
      <c r="A270" t="s">
        <v>382</v>
      </c>
      <c r="B270" t="s">
        <v>245</v>
      </c>
      <c r="C270">
        <v>300</v>
      </c>
      <c r="D270">
        <v>120</v>
      </c>
      <c r="E270" s="1">
        <v>0.89806666999999996</v>
      </c>
      <c r="F270">
        <v>35881</v>
      </c>
      <c r="G270">
        <v>35881</v>
      </c>
      <c r="H270">
        <v>35881</v>
      </c>
      <c r="I270">
        <v>2.1011999999999999E-2</v>
      </c>
      <c r="J270">
        <v>5</v>
      </c>
      <c r="K270">
        <v>35881</v>
      </c>
      <c r="L270">
        <v>35881</v>
      </c>
      <c r="M270">
        <v>5.3920000000000001E-3</v>
      </c>
      <c r="N270">
        <v>5</v>
      </c>
      <c r="O270" s="5">
        <v>35881</v>
      </c>
      <c r="P270" s="5">
        <v>35881</v>
      </c>
      <c r="Q270">
        <v>0.2222973268</v>
      </c>
      <c r="R270">
        <v>5</v>
      </c>
    </row>
    <row r="271" spans="1:18" x14ac:dyDescent="0.3">
      <c r="A271" t="s">
        <v>382</v>
      </c>
      <c r="B271" t="s">
        <v>246</v>
      </c>
      <c r="C271">
        <v>400</v>
      </c>
      <c r="D271">
        <v>40</v>
      </c>
      <c r="E271" s="1">
        <v>0.89656250000000004</v>
      </c>
      <c r="F271">
        <v>4658</v>
      </c>
      <c r="G271">
        <v>4658</v>
      </c>
      <c r="H271">
        <v>4658</v>
      </c>
      <c r="I271">
        <v>2.0671999999999999E-2</v>
      </c>
      <c r="J271">
        <v>5</v>
      </c>
      <c r="K271">
        <v>4658</v>
      </c>
      <c r="L271">
        <v>4658</v>
      </c>
      <c r="M271">
        <v>6.1510000000000002E-3</v>
      </c>
      <c r="N271">
        <v>5</v>
      </c>
      <c r="O271" s="5">
        <v>4658</v>
      </c>
      <c r="P271" s="5">
        <v>4658</v>
      </c>
      <c r="Q271">
        <v>0.8845413016</v>
      </c>
      <c r="R271">
        <v>5</v>
      </c>
    </row>
    <row r="272" spans="1:18" x14ac:dyDescent="0.3">
      <c r="A272" t="s">
        <v>382</v>
      </c>
      <c r="B272" t="s">
        <v>247</v>
      </c>
      <c r="C272">
        <v>400</v>
      </c>
      <c r="D272">
        <v>80</v>
      </c>
      <c r="E272" s="1">
        <v>0.89839999999999998</v>
      </c>
      <c r="F272">
        <v>16956</v>
      </c>
      <c r="G272">
        <v>16956</v>
      </c>
      <c r="H272">
        <v>16956</v>
      </c>
      <c r="I272">
        <v>0.20179800000000001</v>
      </c>
      <c r="J272">
        <v>5</v>
      </c>
      <c r="K272">
        <v>16956</v>
      </c>
      <c r="L272">
        <v>16956</v>
      </c>
      <c r="M272">
        <v>1.7495E-2</v>
      </c>
      <c r="N272">
        <v>5</v>
      </c>
      <c r="O272" s="5">
        <v>16956</v>
      </c>
      <c r="P272" s="5">
        <v>16956</v>
      </c>
      <c r="Q272">
        <v>0.78752890419999999</v>
      </c>
      <c r="R272">
        <v>5</v>
      </c>
    </row>
    <row r="273" spans="1:18" x14ac:dyDescent="0.3">
      <c r="A273" t="s">
        <v>382</v>
      </c>
      <c r="B273" t="s">
        <v>248</v>
      </c>
      <c r="C273">
        <v>400</v>
      </c>
      <c r="D273">
        <v>120</v>
      </c>
      <c r="E273" s="1">
        <v>0.89853749999999999</v>
      </c>
      <c r="F273">
        <v>36317</v>
      </c>
      <c r="G273">
        <v>36317</v>
      </c>
      <c r="H273">
        <v>36317</v>
      </c>
      <c r="I273">
        <v>0.10824499999999999</v>
      </c>
      <c r="J273">
        <v>5</v>
      </c>
      <c r="K273">
        <v>36317</v>
      </c>
      <c r="L273">
        <v>36317</v>
      </c>
      <c r="M273">
        <v>1.0141000000000001E-2</v>
      </c>
      <c r="N273">
        <v>5</v>
      </c>
      <c r="O273" s="5">
        <v>36317</v>
      </c>
      <c r="P273" s="5">
        <v>36317</v>
      </c>
      <c r="Q273">
        <v>0.20512877099999999</v>
      </c>
      <c r="R273">
        <v>5</v>
      </c>
    </row>
    <row r="274" spans="1:18" x14ac:dyDescent="0.3">
      <c r="A274" t="s">
        <v>382</v>
      </c>
      <c r="B274" t="s">
        <v>249</v>
      </c>
      <c r="C274">
        <v>400</v>
      </c>
      <c r="D274">
        <v>160</v>
      </c>
      <c r="E274" s="1">
        <v>0.89641249999999995</v>
      </c>
      <c r="F274">
        <v>62487</v>
      </c>
      <c r="G274">
        <v>62487</v>
      </c>
      <c r="H274">
        <v>62487</v>
      </c>
      <c r="I274">
        <v>0.11523700000000001</v>
      </c>
      <c r="J274">
        <v>5</v>
      </c>
      <c r="K274">
        <v>62487</v>
      </c>
      <c r="L274">
        <v>62487</v>
      </c>
      <c r="M274">
        <v>9.0539999999999995E-3</v>
      </c>
      <c r="N274">
        <v>5</v>
      </c>
      <c r="O274" s="5">
        <v>62487</v>
      </c>
      <c r="P274" s="5">
        <v>62487</v>
      </c>
      <c r="Q274">
        <v>0.80618478739999999</v>
      </c>
      <c r="R274">
        <v>5</v>
      </c>
    </row>
    <row r="275" spans="1:18" x14ac:dyDescent="0.3">
      <c r="A275" t="s">
        <v>382</v>
      </c>
      <c r="B275" t="s">
        <v>250</v>
      </c>
      <c r="C275">
        <v>500</v>
      </c>
      <c r="D275">
        <v>50</v>
      </c>
      <c r="E275" s="1">
        <v>0.89675199999999999</v>
      </c>
      <c r="F275">
        <v>7141</v>
      </c>
      <c r="G275">
        <v>7141</v>
      </c>
      <c r="H275">
        <v>7141</v>
      </c>
      <c r="I275">
        <v>0.23139799999999999</v>
      </c>
      <c r="J275">
        <v>5</v>
      </c>
      <c r="K275">
        <v>7141</v>
      </c>
      <c r="L275">
        <v>7141</v>
      </c>
      <c r="M275">
        <v>3.4290000000000002E-3</v>
      </c>
      <c r="N275">
        <v>5</v>
      </c>
      <c r="O275" s="5">
        <v>7141</v>
      </c>
      <c r="P275" s="5">
        <v>7141</v>
      </c>
      <c r="Q275">
        <v>2.231040449</v>
      </c>
      <c r="R275">
        <v>5</v>
      </c>
    </row>
    <row r="276" spans="1:18" x14ac:dyDescent="0.3">
      <c r="A276" t="s">
        <v>382</v>
      </c>
      <c r="B276" t="s">
        <v>251</v>
      </c>
      <c r="C276">
        <v>500</v>
      </c>
      <c r="D276">
        <v>100</v>
      </c>
      <c r="E276" s="1">
        <v>0.89882399999999996</v>
      </c>
      <c r="F276">
        <v>26258</v>
      </c>
      <c r="G276">
        <v>26258</v>
      </c>
      <c r="H276">
        <v>26258</v>
      </c>
      <c r="I276">
        <v>6.7532999999999996E-2</v>
      </c>
      <c r="J276">
        <v>5</v>
      </c>
      <c r="K276">
        <v>26258</v>
      </c>
      <c r="L276">
        <v>26258</v>
      </c>
      <c r="M276">
        <v>7.7799999999999996E-3</v>
      </c>
      <c r="N276">
        <v>5</v>
      </c>
      <c r="O276" s="5">
        <v>26258</v>
      </c>
      <c r="P276" s="5">
        <v>26258</v>
      </c>
      <c r="Q276">
        <v>0.30316654160000001</v>
      </c>
      <c r="R276">
        <v>5</v>
      </c>
    </row>
    <row r="277" spans="1:18" x14ac:dyDescent="0.3">
      <c r="A277" t="s">
        <v>382</v>
      </c>
      <c r="B277" t="s">
        <v>252</v>
      </c>
      <c r="C277">
        <v>500</v>
      </c>
      <c r="D277">
        <v>150</v>
      </c>
      <c r="E277" s="1">
        <v>0.89879200000000004</v>
      </c>
      <c r="F277">
        <v>56572</v>
      </c>
      <c r="G277">
        <v>56572</v>
      </c>
      <c r="H277">
        <v>56572</v>
      </c>
      <c r="I277">
        <v>1.3235E-2</v>
      </c>
      <c r="J277">
        <v>5</v>
      </c>
      <c r="K277">
        <v>56572</v>
      </c>
      <c r="L277">
        <v>56572</v>
      </c>
      <c r="M277">
        <v>3.7919999999999998E-3</v>
      </c>
      <c r="N277">
        <v>5</v>
      </c>
      <c r="O277" s="5">
        <v>56572</v>
      </c>
      <c r="P277" s="5">
        <v>56572</v>
      </c>
      <c r="Q277">
        <v>4.0610966999999998E-2</v>
      </c>
      <c r="R277">
        <v>5</v>
      </c>
    </row>
    <row r="278" spans="1:18" x14ac:dyDescent="0.3">
      <c r="A278" t="s">
        <v>382</v>
      </c>
      <c r="B278" t="s">
        <v>253</v>
      </c>
      <c r="C278">
        <v>100</v>
      </c>
      <c r="D278">
        <v>10</v>
      </c>
      <c r="E278" s="1">
        <v>0.88900000000000001</v>
      </c>
      <c r="F278">
        <v>333</v>
      </c>
      <c r="G278">
        <v>333</v>
      </c>
      <c r="H278">
        <v>333</v>
      </c>
      <c r="I278">
        <v>3.88E-4</v>
      </c>
      <c r="J278">
        <v>5</v>
      </c>
      <c r="K278">
        <v>333</v>
      </c>
      <c r="L278">
        <v>333</v>
      </c>
      <c r="M278">
        <v>1.06E-4</v>
      </c>
      <c r="N278">
        <v>5</v>
      </c>
      <c r="O278" s="5">
        <v>333</v>
      </c>
      <c r="P278" s="5">
        <v>333</v>
      </c>
      <c r="Q278">
        <v>1.13257258E-2</v>
      </c>
      <c r="R278">
        <v>5</v>
      </c>
    </row>
    <row r="279" spans="1:18" x14ac:dyDescent="0.3">
      <c r="A279" t="s">
        <v>382</v>
      </c>
      <c r="B279" t="s">
        <v>254</v>
      </c>
      <c r="C279">
        <v>500</v>
      </c>
      <c r="D279">
        <v>200</v>
      </c>
      <c r="E279" s="1">
        <v>0.897312</v>
      </c>
      <c r="F279">
        <v>97344</v>
      </c>
      <c r="G279">
        <v>97344</v>
      </c>
      <c r="H279">
        <v>97344</v>
      </c>
      <c r="I279">
        <v>2.9146999999999999E-2</v>
      </c>
      <c r="J279">
        <v>5</v>
      </c>
      <c r="K279">
        <v>97344</v>
      </c>
      <c r="L279">
        <v>97344</v>
      </c>
      <c r="M279">
        <v>6.3680000000000004E-3</v>
      </c>
      <c r="N279">
        <v>5</v>
      </c>
      <c r="O279" s="5">
        <v>97344</v>
      </c>
      <c r="P279" s="5">
        <v>97344</v>
      </c>
      <c r="Q279">
        <v>0.16619988059999999</v>
      </c>
      <c r="R279">
        <v>5</v>
      </c>
    </row>
    <row r="280" spans="1:18" x14ac:dyDescent="0.3">
      <c r="A280" t="s">
        <v>382</v>
      </c>
      <c r="B280" t="s">
        <v>255</v>
      </c>
      <c r="C280">
        <v>100</v>
      </c>
      <c r="D280">
        <v>20</v>
      </c>
      <c r="E280" s="1">
        <v>0.88260000000000005</v>
      </c>
      <c r="F280">
        <v>1195</v>
      </c>
      <c r="G280">
        <v>1195</v>
      </c>
      <c r="H280">
        <v>1195</v>
      </c>
      <c r="I280">
        <v>5.9999999999999995E-4</v>
      </c>
      <c r="J280">
        <v>5</v>
      </c>
      <c r="K280">
        <v>1195</v>
      </c>
      <c r="L280">
        <v>1195</v>
      </c>
      <c r="M280">
        <v>1.12E-4</v>
      </c>
      <c r="N280">
        <v>5</v>
      </c>
      <c r="O280" s="5">
        <v>1195</v>
      </c>
      <c r="P280" s="5">
        <v>1195</v>
      </c>
      <c r="Q280">
        <v>1.28519272E-2</v>
      </c>
      <c r="R280">
        <v>5</v>
      </c>
    </row>
    <row r="281" spans="1:18" x14ac:dyDescent="0.3">
      <c r="A281" t="s">
        <v>382</v>
      </c>
      <c r="B281" t="s">
        <v>256</v>
      </c>
      <c r="C281">
        <v>100</v>
      </c>
      <c r="D281">
        <v>30</v>
      </c>
      <c r="E281" s="1">
        <v>0.88919999999999999</v>
      </c>
      <c r="F281">
        <v>2457</v>
      </c>
      <c r="G281">
        <v>2457</v>
      </c>
      <c r="H281">
        <v>2457</v>
      </c>
      <c r="I281">
        <v>6.4400000000000004E-4</v>
      </c>
      <c r="J281">
        <v>5</v>
      </c>
      <c r="K281">
        <v>2457</v>
      </c>
      <c r="L281">
        <v>2457</v>
      </c>
      <c r="M281">
        <v>1.45E-4</v>
      </c>
      <c r="N281">
        <v>5</v>
      </c>
      <c r="O281" s="5">
        <v>2457</v>
      </c>
      <c r="P281" s="5">
        <v>2457</v>
      </c>
      <c r="Q281">
        <v>1.5330281999999999E-3</v>
      </c>
      <c r="R281">
        <v>5</v>
      </c>
    </row>
    <row r="282" spans="1:18" x14ac:dyDescent="0.3">
      <c r="A282" t="s">
        <v>382</v>
      </c>
      <c r="B282" t="s">
        <v>257</v>
      </c>
      <c r="C282">
        <v>100</v>
      </c>
      <c r="D282">
        <v>40</v>
      </c>
      <c r="E282" s="1">
        <v>0.89119999999999999</v>
      </c>
      <c r="F282">
        <v>4142</v>
      </c>
      <c r="G282">
        <v>4142</v>
      </c>
      <c r="H282">
        <v>4142</v>
      </c>
      <c r="I282">
        <v>4.28E-4</v>
      </c>
      <c r="J282">
        <v>5</v>
      </c>
      <c r="K282">
        <v>4142</v>
      </c>
      <c r="L282">
        <v>4142</v>
      </c>
      <c r="M282">
        <v>3.1E-4</v>
      </c>
      <c r="N282">
        <v>5</v>
      </c>
      <c r="O282" s="5">
        <v>4142</v>
      </c>
      <c r="P282" s="5">
        <v>4142</v>
      </c>
      <c r="Q282">
        <v>2.4886860600000001E-2</v>
      </c>
      <c r="R282">
        <v>5</v>
      </c>
    </row>
    <row r="283" spans="1:18" x14ac:dyDescent="0.3">
      <c r="A283" t="s">
        <v>382</v>
      </c>
      <c r="B283" t="s">
        <v>258</v>
      </c>
      <c r="C283">
        <v>200</v>
      </c>
      <c r="D283">
        <v>20</v>
      </c>
      <c r="E283" s="1">
        <v>0.89785000000000004</v>
      </c>
      <c r="F283">
        <v>1247</v>
      </c>
      <c r="G283">
        <v>1247</v>
      </c>
      <c r="H283">
        <v>1247</v>
      </c>
      <c r="I283">
        <v>6.6639999999999998E-3</v>
      </c>
      <c r="J283">
        <v>5</v>
      </c>
      <c r="K283">
        <v>1247</v>
      </c>
      <c r="L283">
        <v>1247</v>
      </c>
      <c r="M283">
        <v>7.7999999999999999E-4</v>
      </c>
      <c r="N283">
        <v>5</v>
      </c>
      <c r="O283" s="5">
        <v>1247</v>
      </c>
      <c r="P283" s="5">
        <v>1247</v>
      </c>
      <c r="Q283">
        <v>8.4837732400000004E-2</v>
      </c>
      <c r="R283">
        <v>5</v>
      </c>
    </row>
    <row r="284" spans="1:18" x14ac:dyDescent="0.3">
      <c r="A284" t="s">
        <v>382</v>
      </c>
      <c r="B284" t="s">
        <v>259</v>
      </c>
      <c r="C284">
        <v>200</v>
      </c>
      <c r="D284">
        <v>40</v>
      </c>
      <c r="E284" s="1">
        <v>0.9002</v>
      </c>
      <c r="F284">
        <v>4450</v>
      </c>
      <c r="G284">
        <v>4450</v>
      </c>
      <c r="H284">
        <v>4450</v>
      </c>
      <c r="I284">
        <v>4.9467999999999998E-2</v>
      </c>
      <c r="J284">
        <v>5</v>
      </c>
      <c r="K284">
        <v>4450</v>
      </c>
      <c r="L284">
        <v>4450</v>
      </c>
      <c r="M284">
        <v>4.4920000000000003E-3</v>
      </c>
      <c r="N284">
        <v>5</v>
      </c>
      <c r="O284" s="5">
        <v>4450</v>
      </c>
      <c r="P284" s="5">
        <v>4450</v>
      </c>
      <c r="Q284">
        <v>0.3215848758</v>
      </c>
      <c r="R284">
        <v>5</v>
      </c>
    </row>
    <row r="285" spans="1:18" x14ac:dyDescent="0.3">
      <c r="A285" t="s">
        <v>382</v>
      </c>
      <c r="B285" t="s">
        <v>260</v>
      </c>
      <c r="C285">
        <v>200</v>
      </c>
      <c r="D285">
        <v>60</v>
      </c>
      <c r="E285" s="1">
        <v>0.89334999999999998</v>
      </c>
      <c r="F285">
        <v>9437</v>
      </c>
      <c r="G285">
        <v>9437</v>
      </c>
      <c r="H285">
        <v>9437</v>
      </c>
      <c r="I285">
        <v>4.8679999999999999E-3</v>
      </c>
      <c r="J285">
        <v>5</v>
      </c>
      <c r="K285">
        <v>9437</v>
      </c>
      <c r="L285">
        <v>9437</v>
      </c>
      <c r="M285">
        <v>1.1460000000000001E-3</v>
      </c>
      <c r="N285">
        <v>5</v>
      </c>
      <c r="O285" s="5">
        <v>9437</v>
      </c>
      <c r="P285" s="5">
        <v>9437</v>
      </c>
      <c r="Q285">
        <v>4.0137989399999997E-2</v>
      </c>
      <c r="R285">
        <v>5</v>
      </c>
    </row>
    <row r="286" spans="1:18" x14ac:dyDescent="0.3">
      <c r="A286" t="s">
        <v>382</v>
      </c>
      <c r="B286" t="s">
        <v>261</v>
      </c>
      <c r="C286">
        <v>200</v>
      </c>
      <c r="D286">
        <v>80</v>
      </c>
      <c r="E286" s="1">
        <v>0.89890000000000003</v>
      </c>
      <c r="F286">
        <v>16225</v>
      </c>
      <c r="G286">
        <v>16225</v>
      </c>
      <c r="H286">
        <v>16225</v>
      </c>
      <c r="I286">
        <v>2.6159999999999998E-3</v>
      </c>
      <c r="J286">
        <v>5</v>
      </c>
      <c r="K286">
        <v>16225</v>
      </c>
      <c r="L286">
        <v>16225</v>
      </c>
      <c r="M286">
        <v>1.531E-3</v>
      </c>
      <c r="N286">
        <v>5</v>
      </c>
      <c r="O286" s="5">
        <v>16225</v>
      </c>
      <c r="P286" s="5">
        <v>16225</v>
      </c>
      <c r="Q286">
        <v>3.2927428000000002E-2</v>
      </c>
      <c r="R286">
        <v>5</v>
      </c>
    </row>
    <row r="287" spans="1:18" x14ac:dyDescent="0.3">
      <c r="A287" t="s">
        <v>382</v>
      </c>
      <c r="B287" t="s">
        <v>262</v>
      </c>
      <c r="C287">
        <v>300</v>
      </c>
      <c r="D287">
        <v>30</v>
      </c>
      <c r="E287" s="1">
        <v>0.89953333000000002</v>
      </c>
      <c r="F287">
        <v>2694</v>
      </c>
      <c r="G287">
        <v>2694</v>
      </c>
      <c r="H287">
        <v>2694</v>
      </c>
      <c r="I287">
        <v>3.8823999999999997E-2</v>
      </c>
      <c r="J287">
        <v>5</v>
      </c>
      <c r="K287">
        <v>2694</v>
      </c>
      <c r="L287">
        <v>2694</v>
      </c>
      <c r="M287">
        <v>5.1419999999999999E-3</v>
      </c>
      <c r="N287">
        <v>5</v>
      </c>
      <c r="O287" s="5">
        <v>2694</v>
      </c>
      <c r="P287" s="5">
        <v>2694</v>
      </c>
      <c r="Q287">
        <v>0.78701738119999998</v>
      </c>
      <c r="R287">
        <v>5</v>
      </c>
    </row>
    <row r="288" spans="1:18" x14ac:dyDescent="0.3">
      <c r="A288" s="8" t="s">
        <v>383</v>
      </c>
      <c r="B288" s="8"/>
      <c r="C288" s="8" t="s">
        <v>358</v>
      </c>
      <c r="D288" s="8"/>
      <c r="E288" s="9"/>
      <c r="F288" s="8"/>
      <c r="G288" s="8">
        <v>0</v>
      </c>
      <c r="H288" s="8">
        <v>0</v>
      </c>
      <c r="I288" s="8">
        <f>AVERAGE(I268:I287)</f>
        <v>4.8893349999999995E-2</v>
      </c>
      <c r="J288" s="8">
        <f>SUM(J268:J287)</f>
        <v>100</v>
      </c>
      <c r="K288" s="8">
        <v>0</v>
      </c>
      <c r="L288" s="8">
        <v>0</v>
      </c>
      <c r="M288" s="8">
        <f>AVERAGE(M268:M287)</f>
        <v>4.7304999999999995E-3</v>
      </c>
      <c r="N288" s="8">
        <f>SUM(N268:N287)</f>
        <v>100</v>
      </c>
      <c r="O288" s="11">
        <v>0</v>
      </c>
      <c r="P288" s="11">
        <v>0</v>
      </c>
      <c r="Q288" s="8">
        <f>AVERAGE(Q268:Q287)</f>
        <v>0.3931752114499999</v>
      </c>
      <c r="R288" s="8">
        <f>SUM(R268:R287)</f>
        <v>100</v>
      </c>
    </row>
    <row r="289" spans="1:18" x14ac:dyDescent="0.3">
      <c r="A289" t="s">
        <v>384</v>
      </c>
      <c r="B289" t="s">
        <v>263</v>
      </c>
      <c r="C289">
        <v>7000</v>
      </c>
      <c r="D289">
        <v>100</v>
      </c>
      <c r="E289" s="1">
        <v>1.53294E-3</v>
      </c>
      <c r="F289">
        <v>142.71664999999999</v>
      </c>
      <c r="G289">
        <v>142.50523000000001</v>
      </c>
      <c r="H289">
        <v>142.06044</v>
      </c>
      <c r="I289" t="s">
        <v>9</v>
      </c>
      <c r="J289">
        <v>0</v>
      </c>
      <c r="K289">
        <v>142.71664999999999</v>
      </c>
      <c r="L289">
        <v>142.71664999999999</v>
      </c>
      <c r="M289">
        <v>8.920871</v>
      </c>
      <c r="N289">
        <v>5</v>
      </c>
      <c r="O289" s="2">
        <v>113.59756</v>
      </c>
      <c r="P289" s="2">
        <v>109.171176</v>
      </c>
      <c r="Q289" t="s">
        <v>9</v>
      </c>
      <c r="R289">
        <v>0</v>
      </c>
    </row>
    <row r="290" spans="1:18" x14ac:dyDescent="0.3">
      <c r="A290" t="s">
        <v>384</v>
      </c>
      <c r="B290" t="s">
        <v>264</v>
      </c>
      <c r="C290">
        <v>7000</v>
      </c>
      <c r="D290">
        <v>200</v>
      </c>
      <c r="E290" s="1">
        <v>1.53294E-3</v>
      </c>
      <c r="F290">
        <v>255.61268999999999</v>
      </c>
      <c r="G290">
        <v>254.78677999999999</v>
      </c>
      <c r="H290">
        <v>253.86832000000001</v>
      </c>
      <c r="I290" t="s">
        <v>9</v>
      </c>
      <c r="J290">
        <v>0</v>
      </c>
      <c r="K290">
        <v>255.5487</v>
      </c>
      <c r="L290">
        <v>255.52598599999999</v>
      </c>
      <c r="M290" t="s">
        <v>9</v>
      </c>
      <c r="N290">
        <v>0</v>
      </c>
      <c r="O290" s="2">
        <v>200.62246999999999</v>
      </c>
      <c r="P290" s="2">
        <v>195.100988</v>
      </c>
      <c r="Q290" t="s">
        <v>9</v>
      </c>
      <c r="R290">
        <v>0</v>
      </c>
    </row>
    <row r="291" spans="1:18" x14ac:dyDescent="0.3">
      <c r="A291" t="s">
        <v>384</v>
      </c>
      <c r="B291" t="s">
        <v>265</v>
      </c>
      <c r="C291">
        <v>7000</v>
      </c>
      <c r="D291">
        <v>300</v>
      </c>
      <c r="E291" s="1">
        <v>1.53294E-3</v>
      </c>
      <c r="F291">
        <v>354.48030999999997</v>
      </c>
      <c r="G291">
        <v>353.82341000000002</v>
      </c>
      <c r="H291">
        <v>352.72425500000003</v>
      </c>
      <c r="I291" t="s">
        <v>9</v>
      </c>
      <c r="J291">
        <v>0</v>
      </c>
      <c r="K291">
        <v>354.41550000000001</v>
      </c>
      <c r="L291">
        <v>354.26472000000001</v>
      </c>
      <c r="M291" t="s">
        <v>9</v>
      </c>
      <c r="N291">
        <v>0</v>
      </c>
      <c r="O291" s="2">
        <v>257.99099000000001</v>
      </c>
      <c r="P291" s="2">
        <v>247.200424</v>
      </c>
      <c r="Q291" t="s">
        <v>9</v>
      </c>
      <c r="R291">
        <v>0</v>
      </c>
    </row>
    <row r="292" spans="1:18" x14ac:dyDescent="0.3">
      <c r="A292" t="s">
        <v>384</v>
      </c>
      <c r="B292" t="s">
        <v>266</v>
      </c>
      <c r="C292">
        <v>7000</v>
      </c>
      <c r="D292">
        <v>400</v>
      </c>
      <c r="E292" s="1">
        <v>1.53294E-3</v>
      </c>
      <c r="F292">
        <v>442.89061500000003</v>
      </c>
      <c r="G292">
        <v>440.69545499999998</v>
      </c>
      <c r="H292">
        <v>439.66992399999998</v>
      </c>
      <c r="I292" t="s">
        <v>9</v>
      </c>
      <c r="J292">
        <v>0</v>
      </c>
      <c r="K292">
        <v>442.62848500000001</v>
      </c>
      <c r="L292">
        <v>442.02394700000002</v>
      </c>
      <c r="M292" t="s">
        <v>9</v>
      </c>
      <c r="N292">
        <v>0</v>
      </c>
      <c r="O292" s="2">
        <v>303.73565000000002</v>
      </c>
      <c r="P292" s="2">
        <v>294.27895599999999</v>
      </c>
      <c r="Q292" t="s">
        <v>9</v>
      </c>
      <c r="R292">
        <v>0</v>
      </c>
    </row>
    <row r="293" spans="1:18" x14ac:dyDescent="0.3">
      <c r="A293" t="s">
        <v>384</v>
      </c>
      <c r="B293" t="s">
        <v>267</v>
      </c>
      <c r="C293">
        <v>7000</v>
      </c>
      <c r="D293">
        <v>500</v>
      </c>
      <c r="E293" s="1">
        <v>1.53294E-3</v>
      </c>
      <c r="F293">
        <v>524.15727000000004</v>
      </c>
      <c r="G293">
        <v>522.10491000000002</v>
      </c>
      <c r="H293">
        <v>521.21795799999995</v>
      </c>
      <c r="I293" t="s">
        <v>9</v>
      </c>
      <c r="J293">
        <v>0</v>
      </c>
      <c r="K293">
        <v>523.66161</v>
      </c>
      <c r="L293">
        <v>523.14984000000004</v>
      </c>
      <c r="M293" t="s">
        <v>9</v>
      </c>
      <c r="N293">
        <v>0</v>
      </c>
      <c r="O293" s="2">
        <v>375.50416999999999</v>
      </c>
      <c r="P293" s="2">
        <v>364.401656</v>
      </c>
      <c r="Q293" t="s">
        <v>9</v>
      </c>
      <c r="R293">
        <v>0</v>
      </c>
    </row>
    <row r="294" spans="1:18" x14ac:dyDescent="0.3">
      <c r="A294" t="s">
        <v>384</v>
      </c>
      <c r="B294" t="s">
        <v>268</v>
      </c>
      <c r="C294">
        <v>7000</v>
      </c>
      <c r="D294">
        <v>100</v>
      </c>
      <c r="E294" s="1">
        <v>1.5151400000000001E-3</v>
      </c>
      <c r="F294">
        <v>142.13679999999999</v>
      </c>
      <c r="G294">
        <v>142.03421</v>
      </c>
      <c r="H294">
        <v>141.87070800000001</v>
      </c>
      <c r="I294" t="s">
        <v>9</v>
      </c>
      <c r="J294">
        <v>0</v>
      </c>
      <c r="K294">
        <v>142.13679999999999</v>
      </c>
      <c r="L294">
        <v>142.13679999999999</v>
      </c>
      <c r="M294">
        <v>3.824681</v>
      </c>
      <c r="N294">
        <v>5</v>
      </c>
      <c r="O294" s="2">
        <v>97.164249999999996</v>
      </c>
      <c r="P294" s="2">
        <v>92.234967999999995</v>
      </c>
      <c r="Q294" t="s">
        <v>9</v>
      </c>
      <c r="R294">
        <v>0</v>
      </c>
    </row>
    <row r="295" spans="1:18" x14ac:dyDescent="0.3">
      <c r="A295" t="s">
        <v>384</v>
      </c>
      <c r="B295" t="s">
        <v>269</v>
      </c>
      <c r="C295">
        <v>7000</v>
      </c>
      <c r="D295">
        <v>200</v>
      </c>
      <c r="E295" s="1">
        <v>1.5151400000000001E-3</v>
      </c>
      <c r="F295">
        <v>247.79705999999999</v>
      </c>
      <c r="G295">
        <v>247.14576</v>
      </c>
      <c r="H295">
        <v>246.53982199999999</v>
      </c>
      <c r="I295" t="s">
        <v>9</v>
      </c>
      <c r="J295">
        <v>0</v>
      </c>
      <c r="K295">
        <v>247.79705999999999</v>
      </c>
      <c r="L295">
        <v>247.59584799999999</v>
      </c>
      <c r="M295">
        <v>25.431833999999998</v>
      </c>
      <c r="N295">
        <v>2</v>
      </c>
      <c r="O295" s="2">
        <v>173.25054</v>
      </c>
      <c r="P295" s="2">
        <v>165.256564</v>
      </c>
      <c r="Q295" t="s">
        <v>9</v>
      </c>
      <c r="R295">
        <v>0</v>
      </c>
    </row>
    <row r="296" spans="1:18" x14ac:dyDescent="0.3">
      <c r="A296" t="s">
        <v>384</v>
      </c>
      <c r="B296" t="s">
        <v>270</v>
      </c>
      <c r="C296">
        <v>7000</v>
      </c>
      <c r="D296">
        <v>300</v>
      </c>
      <c r="E296" s="1">
        <v>1.5151400000000001E-3</v>
      </c>
      <c r="F296">
        <v>336.30565999999999</v>
      </c>
      <c r="G296">
        <v>334.77213499999999</v>
      </c>
      <c r="H296">
        <v>334.37756400000001</v>
      </c>
      <c r="I296" t="s">
        <v>9</v>
      </c>
      <c r="J296">
        <v>0</v>
      </c>
      <c r="K296">
        <v>336.20999499999999</v>
      </c>
      <c r="L296">
        <v>335.78627699999998</v>
      </c>
      <c r="M296" t="s">
        <v>9</v>
      </c>
      <c r="N296">
        <v>0</v>
      </c>
      <c r="O296" s="2">
        <v>233.14454000000001</v>
      </c>
      <c r="P296" s="2">
        <v>220.39002600000001</v>
      </c>
      <c r="Q296" t="s">
        <v>9</v>
      </c>
      <c r="R296">
        <v>0</v>
      </c>
    </row>
    <row r="297" spans="1:18" x14ac:dyDescent="0.3">
      <c r="A297" t="s">
        <v>384</v>
      </c>
      <c r="B297" t="s">
        <v>271</v>
      </c>
      <c r="C297">
        <v>7000</v>
      </c>
      <c r="D297">
        <v>400</v>
      </c>
      <c r="E297" s="1">
        <v>1.5151400000000001E-3</v>
      </c>
      <c r="F297">
        <v>416.79508499999997</v>
      </c>
      <c r="G297">
        <v>415.35574500000001</v>
      </c>
      <c r="H297">
        <v>414.19503700000001</v>
      </c>
      <c r="I297" t="s">
        <v>9</v>
      </c>
      <c r="J297">
        <v>0</v>
      </c>
      <c r="K297">
        <v>416.27220499999999</v>
      </c>
      <c r="L297">
        <v>415.79192899999998</v>
      </c>
      <c r="M297" t="s">
        <v>9</v>
      </c>
      <c r="N297">
        <v>0</v>
      </c>
      <c r="O297" s="2">
        <v>292.04273999999998</v>
      </c>
      <c r="P297" s="2">
        <v>280.86408399999999</v>
      </c>
      <c r="Q297" t="s">
        <v>9</v>
      </c>
      <c r="R297">
        <v>0</v>
      </c>
    </row>
    <row r="298" spans="1:18" x14ac:dyDescent="0.3">
      <c r="A298" t="s">
        <v>384</v>
      </c>
      <c r="B298" t="s">
        <v>272</v>
      </c>
      <c r="C298">
        <v>7000</v>
      </c>
      <c r="D298">
        <v>500</v>
      </c>
      <c r="E298" s="1">
        <v>1.5151400000000001E-3</v>
      </c>
      <c r="F298">
        <v>488.81932499999999</v>
      </c>
      <c r="G298">
        <v>486.396795</v>
      </c>
      <c r="H298">
        <v>485.52062699999999</v>
      </c>
      <c r="I298" t="s">
        <v>9</v>
      </c>
      <c r="J298">
        <v>0</v>
      </c>
      <c r="K298">
        <v>487.824635</v>
      </c>
      <c r="L298">
        <v>487.507881</v>
      </c>
      <c r="M298" t="s">
        <v>9</v>
      </c>
      <c r="N298">
        <v>0</v>
      </c>
      <c r="O298" s="2">
        <v>349.66496000000001</v>
      </c>
      <c r="P298" s="2">
        <v>329.18131199999999</v>
      </c>
      <c r="Q298" t="s">
        <v>9</v>
      </c>
      <c r="R298">
        <v>0</v>
      </c>
    </row>
    <row r="299" spans="1:18" x14ac:dyDescent="0.3">
      <c r="A299" t="s">
        <v>384</v>
      </c>
      <c r="B299" t="s">
        <v>273</v>
      </c>
      <c r="C299">
        <v>7000</v>
      </c>
      <c r="D299">
        <v>100</v>
      </c>
      <c r="E299" s="1">
        <v>1.47196E-3</v>
      </c>
      <c r="F299">
        <v>160.60842</v>
      </c>
      <c r="G299">
        <v>160.60103000000001</v>
      </c>
      <c r="H299">
        <v>160.215506</v>
      </c>
      <c r="I299" t="s">
        <v>9</v>
      </c>
      <c r="J299">
        <v>0</v>
      </c>
      <c r="K299">
        <v>160.60842</v>
      </c>
      <c r="L299">
        <v>160.606942</v>
      </c>
      <c r="M299">
        <v>22.229817000000001</v>
      </c>
      <c r="N299">
        <v>4</v>
      </c>
      <c r="O299" s="2">
        <v>132.23325</v>
      </c>
      <c r="P299" s="2">
        <v>125.900102</v>
      </c>
      <c r="Q299" t="s">
        <v>9</v>
      </c>
      <c r="R299">
        <v>0</v>
      </c>
    </row>
    <row r="300" spans="1:18" x14ac:dyDescent="0.3">
      <c r="A300" t="s">
        <v>384</v>
      </c>
      <c r="B300" t="s">
        <v>274</v>
      </c>
      <c r="C300">
        <v>7000</v>
      </c>
      <c r="D300">
        <v>200</v>
      </c>
      <c r="E300" s="1">
        <v>1.47196E-3</v>
      </c>
      <c r="F300">
        <v>282.06218999999999</v>
      </c>
      <c r="G300">
        <v>281.16100999999998</v>
      </c>
      <c r="H300">
        <v>280.17756600000001</v>
      </c>
      <c r="I300" t="s">
        <v>9</v>
      </c>
      <c r="J300">
        <v>0</v>
      </c>
      <c r="K300">
        <v>281.72043000000002</v>
      </c>
      <c r="L300">
        <v>281.60028</v>
      </c>
      <c r="M300" t="s">
        <v>9</v>
      </c>
      <c r="N300">
        <v>0</v>
      </c>
      <c r="O300" s="2">
        <v>227.864</v>
      </c>
      <c r="P300" s="2">
        <v>215.60388599999999</v>
      </c>
      <c r="Q300" t="s">
        <v>9</v>
      </c>
      <c r="R300">
        <v>0</v>
      </c>
    </row>
    <row r="301" spans="1:18" x14ac:dyDescent="0.3">
      <c r="A301" t="s">
        <v>384</v>
      </c>
      <c r="B301" t="s">
        <v>275</v>
      </c>
      <c r="C301">
        <v>7000</v>
      </c>
      <c r="D301">
        <v>300</v>
      </c>
      <c r="E301" s="1">
        <v>1.47196E-3</v>
      </c>
      <c r="F301">
        <v>388.39409000000001</v>
      </c>
      <c r="G301">
        <v>388.16667000000001</v>
      </c>
      <c r="H301">
        <v>387.01029399999999</v>
      </c>
      <c r="I301" t="s">
        <v>9</v>
      </c>
      <c r="J301">
        <v>0</v>
      </c>
      <c r="K301">
        <v>388.08981999999997</v>
      </c>
      <c r="L301">
        <v>387.996374</v>
      </c>
      <c r="M301" t="s">
        <v>9</v>
      </c>
      <c r="N301">
        <v>0</v>
      </c>
      <c r="O301" s="2">
        <v>294.14433000000002</v>
      </c>
      <c r="P301" s="2">
        <v>278.52568600000001</v>
      </c>
      <c r="Q301" t="s">
        <v>9</v>
      </c>
      <c r="R301">
        <v>0</v>
      </c>
    </row>
    <row r="302" spans="1:18" x14ac:dyDescent="0.3">
      <c r="A302" t="s">
        <v>384</v>
      </c>
      <c r="B302" t="s">
        <v>276</v>
      </c>
      <c r="C302">
        <v>7000</v>
      </c>
      <c r="D302">
        <v>400</v>
      </c>
      <c r="E302" s="1">
        <v>1.47196E-3</v>
      </c>
      <c r="F302">
        <v>483.96174999999999</v>
      </c>
      <c r="G302">
        <v>483.28975000000003</v>
      </c>
      <c r="H302">
        <v>482.48890399999999</v>
      </c>
      <c r="I302" t="s">
        <v>9</v>
      </c>
      <c r="J302">
        <v>0</v>
      </c>
      <c r="K302">
        <v>483.67795999999998</v>
      </c>
      <c r="L302">
        <v>483.42386800000003</v>
      </c>
      <c r="M302" t="s">
        <v>9</v>
      </c>
      <c r="N302">
        <v>0</v>
      </c>
      <c r="O302" s="2">
        <v>378.0489</v>
      </c>
      <c r="P302" s="2">
        <v>350.63984399999998</v>
      </c>
      <c r="Q302" t="s">
        <v>9</v>
      </c>
      <c r="R302">
        <v>0</v>
      </c>
    </row>
    <row r="303" spans="1:18" x14ac:dyDescent="0.3">
      <c r="A303" t="s">
        <v>384</v>
      </c>
      <c r="B303" t="s">
        <v>277</v>
      </c>
      <c r="C303">
        <v>7000</v>
      </c>
      <c r="D303">
        <v>500</v>
      </c>
      <c r="E303" s="1">
        <v>1.47196E-3</v>
      </c>
      <c r="F303">
        <v>572.51418999999999</v>
      </c>
      <c r="G303">
        <v>571.32974999999999</v>
      </c>
      <c r="H303">
        <v>570.37675999999999</v>
      </c>
      <c r="I303" t="s">
        <v>9</v>
      </c>
      <c r="J303">
        <v>0</v>
      </c>
      <c r="K303">
        <v>572.04553999999996</v>
      </c>
      <c r="L303">
        <v>571.93580599999996</v>
      </c>
      <c r="M303" t="s">
        <v>9</v>
      </c>
      <c r="N303">
        <v>0</v>
      </c>
      <c r="O303" s="2">
        <v>424.66541999999998</v>
      </c>
      <c r="P303" s="2">
        <v>410.54433999999998</v>
      </c>
      <c r="Q303" t="s">
        <v>9</v>
      </c>
      <c r="R303">
        <v>0</v>
      </c>
    </row>
    <row r="304" spans="1:18" x14ac:dyDescent="0.3">
      <c r="A304" t="s">
        <v>384</v>
      </c>
      <c r="B304" t="s">
        <v>278</v>
      </c>
      <c r="C304">
        <v>7000</v>
      </c>
      <c r="D304">
        <v>100</v>
      </c>
      <c r="E304" s="1">
        <v>1.45773E-3</v>
      </c>
      <c r="F304">
        <v>156.42930999999999</v>
      </c>
      <c r="G304">
        <v>156.42930999999999</v>
      </c>
      <c r="H304">
        <v>156.293104</v>
      </c>
      <c r="I304">
        <v>7.4099130000000004</v>
      </c>
      <c r="J304">
        <v>4</v>
      </c>
      <c r="K304">
        <v>156.42930999999999</v>
      </c>
      <c r="L304">
        <v>156.42930999999999</v>
      </c>
      <c r="M304">
        <v>0.50278699999999998</v>
      </c>
      <c r="N304">
        <v>5</v>
      </c>
      <c r="O304" s="2">
        <v>114.87414</v>
      </c>
      <c r="P304" s="2">
        <v>110.80799399999999</v>
      </c>
      <c r="Q304" t="s">
        <v>9</v>
      </c>
      <c r="R304">
        <v>0</v>
      </c>
    </row>
    <row r="305" spans="1:18" x14ac:dyDescent="0.3">
      <c r="A305" t="s">
        <v>384</v>
      </c>
      <c r="B305" t="s">
        <v>279</v>
      </c>
      <c r="C305">
        <v>7000</v>
      </c>
      <c r="D305">
        <v>200</v>
      </c>
      <c r="E305" s="1">
        <v>1.45773E-3</v>
      </c>
      <c r="F305">
        <v>266.12285000000003</v>
      </c>
      <c r="G305">
        <v>265.62203</v>
      </c>
      <c r="H305">
        <v>264.78695800000003</v>
      </c>
      <c r="I305" t="s">
        <v>9</v>
      </c>
      <c r="J305">
        <v>0</v>
      </c>
      <c r="K305">
        <v>266.12285000000003</v>
      </c>
      <c r="L305">
        <v>266.12156199999998</v>
      </c>
      <c r="M305">
        <v>7.9811909999999999</v>
      </c>
      <c r="N305">
        <v>4</v>
      </c>
      <c r="O305" s="2">
        <v>196.67894000000001</v>
      </c>
      <c r="P305" s="2">
        <v>189.78016199999999</v>
      </c>
      <c r="Q305" t="s">
        <v>9</v>
      </c>
      <c r="R305">
        <v>0</v>
      </c>
    </row>
    <row r="306" spans="1:18" x14ac:dyDescent="0.3">
      <c r="A306" t="s">
        <v>384</v>
      </c>
      <c r="B306" t="s">
        <v>280</v>
      </c>
      <c r="C306">
        <v>7000</v>
      </c>
      <c r="D306">
        <v>300</v>
      </c>
      <c r="E306" s="1">
        <v>1.45773E-3</v>
      </c>
      <c r="F306">
        <v>361.99662999999998</v>
      </c>
      <c r="G306">
        <v>360.33089000000001</v>
      </c>
      <c r="H306">
        <v>359.33782400000001</v>
      </c>
      <c r="I306" t="s">
        <v>9</v>
      </c>
      <c r="J306">
        <v>0</v>
      </c>
      <c r="K306">
        <v>361.99662999999998</v>
      </c>
      <c r="L306">
        <v>361.74396000000002</v>
      </c>
      <c r="M306">
        <v>8.8765350000000005</v>
      </c>
      <c r="N306">
        <v>1</v>
      </c>
      <c r="O306" s="2">
        <v>259.30795999999998</v>
      </c>
      <c r="P306" s="2">
        <v>248.85695000000001</v>
      </c>
      <c r="Q306" t="s">
        <v>9</v>
      </c>
      <c r="R306">
        <v>0</v>
      </c>
    </row>
    <row r="307" spans="1:18" x14ac:dyDescent="0.3">
      <c r="A307" t="s">
        <v>384</v>
      </c>
      <c r="B307" t="s">
        <v>281</v>
      </c>
      <c r="C307">
        <v>7000</v>
      </c>
      <c r="D307">
        <v>400</v>
      </c>
      <c r="E307" s="1">
        <v>1.45773E-3</v>
      </c>
      <c r="F307">
        <v>446.82528000000002</v>
      </c>
      <c r="G307">
        <v>446.38364999999999</v>
      </c>
      <c r="H307">
        <v>444.688086</v>
      </c>
      <c r="I307" t="s">
        <v>9</v>
      </c>
      <c r="J307">
        <v>0</v>
      </c>
      <c r="K307">
        <v>446.65665000000001</v>
      </c>
      <c r="L307">
        <v>446.30169999999998</v>
      </c>
      <c r="M307" t="s">
        <v>9</v>
      </c>
      <c r="N307">
        <v>0</v>
      </c>
      <c r="O307" s="2">
        <v>313.39211</v>
      </c>
      <c r="P307" s="2">
        <v>303.58950199999998</v>
      </c>
      <c r="Q307" t="s">
        <v>9</v>
      </c>
      <c r="R307">
        <v>0</v>
      </c>
    </row>
    <row r="308" spans="1:18" x14ac:dyDescent="0.3">
      <c r="A308" t="s">
        <v>384</v>
      </c>
      <c r="B308" t="s">
        <v>282</v>
      </c>
      <c r="C308">
        <v>7000</v>
      </c>
      <c r="D308">
        <v>500</v>
      </c>
      <c r="E308" s="1">
        <v>1.45773E-3</v>
      </c>
      <c r="F308">
        <v>523.84563000000003</v>
      </c>
      <c r="G308">
        <v>521.75994000000003</v>
      </c>
      <c r="H308">
        <v>521.31202800000005</v>
      </c>
      <c r="I308" t="s">
        <v>9</v>
      </c>
      <c r="J308">
        <v>0</v>
      </c>
      <c r="K308">
        <v>523.15422999999998</v>
      </c>
      <c r="L308">
        <v>522.54365600000006</v>
      </c>
      <c r="M308" t="s">
        <v>9</v>
      </c>
      <c r="N308">
        <v>0</v>
      </c>
      <c r="O308" s="2">
        <v>376.19797</v>
      </c>
      <c r="P308" s="2">
        <v>356.58093200000002</v>
      </c>
      <c r="Q308" t="s">
        <v>9</v>
      </c>
      <c r="R308">
        <v>0</v>
      </c>
    </row>
    <row r="309" spans="1:18" x14ac:dyDescent="0.3">
      <c r="A309" t="s">
        <v>384</v>
      </c>
      <c r="B309" t="s">
        <v>283</v>
      </c>
      <c r="C309">
        <v>7000</v>
      </c>
      <c r="D309">
        <v>100</v>
      </c>
      <c r="E309" s="1">
        <v>1.43808E-3</v>
      </c>
      <c r="F309">
        <v>129.36341999999999</v>
      </c>
      <c r="G309">
        <v>128.79311999999999</v>
      </c>
      <c r="H309">
        <v>128.46249</v>
      </c>
      <c r="I309" t="s">
        <v>9</v>
      </c>
      <c r="J309">
        <v>0</v>
      </c>
      <c r="K309">
        <v>128.98062999999999</v>
      </c>
      <c r="L309">
        <v>128.98062999999999</v>
      </c>
      <c r="M309" t="s">
        <v>9</v>
      </c>
      <c r="N309">
        <v>0</v>
      </c>
      <c r="O309" s="2">
        <v>107.87851999999999</v>
      </c>
      <c r="P309" s="2">
        <v>102.8111</v>
      </c>
      <c r="Q309" t="s">
        <v>9</v>
      </c>
      <c r="R309">
        <v>0</v>
      </c>
    </row>
    <row r="310" spans="1:18" x14ac:dyDescent="0.3">
      <c r="A310" t="s">
        <v>384</v>
      </c>
      <c r="B310" t="s">
        <v>284</v>
      </c>
      <c r="C310">
        <v>7000</v>
      </c>
      <c r="D310">
        <v>200</v>
      </c>
      <c r="E310" s="1">
        <v>1.43808E-3</v>
      </c>
      <c r="F310">
        <v>238.34729999999999</v>
      </c>
      <c r="G310">
        <v>237.47512</v>
      </c>
      <c r="H310">
        <v>237.008892</v>
      </c>
      <c r="I310" t="s">
        <v>9</v>
      </c>
      <c r="J310">
        <v>0</v>
      </c>
      <c r="K310">
        <v>238.34729999999999</v>
      </c>
      <c r="L310">
        <v>238.226294</v>
      </c>
      <c r="M310">
        <v>31.621143</v>
      </c>
      <c r="N310">
        <v>2</v>
      </c>
      <c r="O310" s="2">
        <v>195.05267000000001</v>
      </c>
      <c r="P310" s="2">
        <v>191.34121999999999</v>
      </c>
      <c r="Q310" t="s">
        <v>9</v>
      </c>
      <c r="R310">
        <v>0</v>
      </c>
    </row>
    <row r="311" spans="1:18" x14ac:dyDescent="0.3">
      <c r="A311" t="s">
        <v>384</v>
      </c>
      <c r="B311" t="s">
        <v>285</v>
      </c>
      <c r="C311">
        <v>7000</v>
      </c>
      <c r="D311">
        <v>300</v>
      </c>
      <c r="E311" s="1">
        <v>1.43808E-3</v>
      </c>
      <c r="F311">
        <v>337.32862</v>
      </c>
      <c r="G311">
        <v>336.58855</v>
      </c>
      <c r="H311">
        <v>335.84592800000001</v>
      </c>
      <c r="I311" t="s">
        <v>9</v>
      </c>
      <c r="J311">
        <v>0</v>
      </c>
      <c r="K311">
        <v>336.93103000000002</v>
      </c>
      <c r="L311">
        <v>336.75477999999998</v>
      </c>
      <c r="M311" t="s">
        <v>9</v>
      </c>
      <c r="N311">
        <v>0</v>
      </c>
      <c r="O311" s="2">
        <v>262.94047</v>
      </c>
      <c r="P311" s="2">
        <v>244.14046200000001</v>
      </c>
      <c r="Q311" t="s">
        <v>9</v>
      </c>
      <c r="R311">
        <v>0</v>
      </c>
    </row>
    <row r="312" spans="1:18" x14ac:dyDescent="0.3">
      <c r="A312" t="s">
        <v>384</v>
      </c>
      <c r="B312" t="s">
        <v>286</v>
      </c>
      <c r="C312">
        <v>7000</v>
      </c>
      <c r="D312">
        <v>400</v>
      </c>
      <c r="E312" s="1">
        <v>1.43808E-3</v>
      </c>
      <c r="F312">
        <v>428.83992000000001</v>
      </c>
      <c r="G312">
        <v>427.41764999999998</v>
      </c>
      <c r="H312">
        <v>426.77555799999999</v>
      </c>
      <c r="I312" t="s">
        <v>9</v>
      </c>
      <c r="J312">
        <v>0</v>
      </c>
      <c r="K312">
        <v>428.83992000000001</v>
      </c>
      <c r="L312">
        <v>428.66596800000002</v>
      </c>
      <c r="M312">
        <v>44.995258</v>
      </c>
      <c r="N312">
        <v>2</v>
      </c>
      <c r="O312" s="2">
        <v>319.90992</v>
      </c>
      <c r="P312" s="2">
        <v>298.86469199999999</v>
      </c>
      <c r="Q312" t="s">
        <v>9</v>
      </c>
      <c r="R312">
        <v>0</v>
      </c>
    </row>
    <row r="313" spans="1:18" x14ac:dyDescent="0.3">
      <c r="A313" t="s">
        <v>384</v>
      </c>
      <c r="B313" t="s">
        <v>287</v>
      </c>
      <c r="C313">
        <v>7000</v>
      </c>
      <c r="D313">
        <v>500</v>
      </c>
      <c r="E313" s="1">
        <v>1.43808E-3</v>
      </c>
      <c r="F313">
        <v>511.22753</v>
      </c>
      <c r="G313">
        <v>509.27987000000002</v>
      </c>
      <c r="H313">
        <v>507.820786</v>
      </c>
      <c r="I313" t="s">
        <v>9</v>
      </c>
      <c r="J313">
        <v>0</v>
      </c>
      <c r="K313">
        <v>511.12373000000002</v>
      </c>
      <c r="L313">
        <v>510.97776599999997</v>
      </c>
      <c r="M313" t="s">
        <v>9</v>
      </c>
      <c r="N313">
        <v>0</v>
      </c>
      <c r="O313" s="2">
        <v>361.03273000000002</v>
      </c>
      <c r="P313" s="2">
        <v>352.80276600000002</v>
      </c>
      <c r="Q313" t="s">
        <v>9</v>
      </c>
      <c r="R313">
        <v>0</v>
      </c>
    </row>
    <row r="314" spans="1:18" x14ac:dyDescent="0.3">
      <c r="A314" t="s">
        <v>384</v>
      </c>
      <c r="B314" t="s">
        <v>288</v>
      </c>
      <c r="C314">
        <v>7000</v>
      </c>
      <c r="D314">
        <v>100</v>
      </c>
      <c r="E314" s="1">
        <v>1.5468599999999999E-3</v>
      </c>
      <c r="F314">
        <v>147.21297999999999</v>
      </c>
      <c r="G314">
        <v>147.21297999999999</v>
      </c>
      <c r="H314">
        <v>147.17847599999999</v>
      </c>
      <c r="I314">
        <v>22.722314999999998</v>
      </c>
      <c r="J314">
        <v>4</v>
      </c>
      <c r="K314">
        <v>147.21297999999999</v>
      </c>
      <c r="L314">
        <v>147.21297999999999</v>
      </c>
      <c r="M314">
        <v>0.83604000000000001</v>
      </c>
      <c r="N314">
        <v>5</v>
      </c>
      <c r="O314" s="2">
        <v>113.53071</v>
      </c>
      <c r="P314" s="2">
        <v>111.149196</v>
      </c>
      <c r="Q314" t="s">
        <v>9</v>
      </c>
      <c r="R314">
        <v>0</v>
      </c>
    </row>
    <row r="315" spans="1:18" x14ac:dyDescent="0.3">
      <c r="A315" t="s">
        <v>384</v>
      </c>
      <c r="B315" t="s">
        <v>289</v>
      </c>
      <c r="C315">
        <v>7000</v>
      </c>
      <c r="D315">
        <v>200</v>
      </c>
      <c r="E315" s="1">
        <v>1.5468599999999999E-3</v>
      </c>
      <c r="F315">
        <v>256.88351</v>
      </c>
      <c r="G315">
        <v>256.63941999999997</v>
      </c>
      <c r="H315">
        <v>256.37202400000001</v>
      </c>
      <c r="I315" t="s">
        <v>9</v>
      </c>
      <c r="J315">
        <v>0</v>
      </c>
      <c r="K315">
        <v>256.88351</v>
      </c>
      <c r="L315">
        <v>256.87337600000001</v>
      </c>
      <c r="M315">
        <v>18.803170000000001</v>
      </c>
      <c r="N315">
        <v>2</v>
      </c>
      <c r="O315" s="2">
        <v>217.47901999999999</v>
      </c>
      <c r="P315" s="2">
        <v>188.74712199999999</v>
      </c>
      <c r="Q315" t="s">
        <v>9</v>
      </c>
      <c r="R315">
        <v>0</v>
      </c>
    </row>
    <row r="316" spans="1:18" x14ac:dyDescent="0.3">
      <c r="A316" t="s">
        <v>384</v>
      </c>
      <c r="B316" t="s">
        <v>290</v>
      </c>
      <c r="C316">
        <v>7000</v>
      </c>
      <c r="D316">
        <v>300</v>
      </c>
      <c r="E316" s="1">
        <v>1.5468599999999999E-3</v>
      </c>
      <c r="F316">
        <v>351.50053000000003</v>
      </c>
      <c r="G316">
        <v>350.43957</v>
      </c>
      <c r="H316">
        <v>349.757338</v>
      </c>
      <c r="I316" t="s">
        <v>9</v>
      </c>
      <c r="J316">
        <v>0</v>
      </c>
      <c r="K316">
        <v>351.44675000000001</v>
      </c>
      <c r="L316">
        <v>351.253244</v>
      </c>
      <c r="M316" t="s">
        <v>9</v>
      </c>
      <c r="N316">
        <v>0</v>
      </c>
      <c r="O316" s="2">
        <v>247.66099</v>
      </c>
      <c r="P316" s="2">
        <v>241.229782</v>
      </c>
      <c r="Q316" t="s">
        <v>9</v>
      </c>
      <c r="R316">
        <v>0</v>
      </c>
    </row>
    <row r="317" spans="1:18" x14ac:dyDescent="0.3">
      <c r="A317" t="s">
        <v>384</v>
      </c>
      <c r="B317" t="s">
        <v>291</v>
      </c>
      <c r="C317">
        <v>7000</v>
      </c>
      <c r="D317">
        <v>400</v>
      </c>
      <c r="E317" s="1">
        <v>1.5468599999999999E-3</v>
      </c>
      <c r="F317">
        <v>438.72872999999998</v>
      </c>
      <c r="G317">
        <v>437.44524999999999</v>
      </c>
      <c r="H317">
        <v>436.326908</v>
      </c>
      <c r="I317" t="s">
        <v>9</v>
      </c>
      <c r="J317">
        <v>0</v>
      </c>
      <c r="K317">
        <v>438.15708000000001</v>
      </c>
      <c r="L317">
        <v>437.93005199999999</v>
      </c>
      <c r="M317" t="s">
        <v>9</v>
      </c>
      <c r="N317">
        <v>0</v>
      </c>
      <c r="O317" s="2">
        <v>326.48577</v>
      </c>
      <c r="P317" s="2">
        <v>300.42398800000001</v>
      </c>
      <c r="Q317" t="s">
        <v>9</v>
      </c>
      <c r="R317">
        <v>0</v>
      </c>
    </row>
    <row r="318" spans="1:18" x14ac:dyDescent="0.3">
      <c r="A318" t="s">
        <v>384</v>
      </c>
      <c r="B318" t="s">
        <v>292</v>
      </c>
      <c r="C318">
        <v>7000</v>
      </c>
      <c r="D318">
        <v>500</v>
      </c>
      <c r="E318" s="1">
        <v>1.5468599999999999E-3</v>
      </c>
      <c r="F318">
        <v>520.36280999999997</v>
      </c>
      <c r="G318">
        <v>518.34488999999996</v>
      </c>
      <c r="H318">
        <v>516.53891399999998</v>
      </c>
      <c r="I318" t="s">
        <v>9</v>
      </c>
      <c r="J318">
        <v>0</v>
      </c>
      <c r="K318">
        <v>519.96007999999995</v>
      </c>
      <c r="L318">
        <v>519.51113199999998</v>
      </c>
      <c r="M318" t="s">
        <v>9</v>
      </c>
      <c r="N318">
        <v>0</v>
      </c>
      <c r="O318" s="2">
        <v>379.45794999999998</v>
      </c>
      <c r="P318" s="2">
        <v>367.57217600000001</v>
      </c>
      <c r="Q318" t="s">
        <v>9</v>
      </c>
      <c r="R318">
        <v>0</v>
      </c>
    </row>
    <row r="319" spans="1:18" x14ac:dyDescent="0.3">
      <c r="A319" t="s">
        <v>384</v>
      </c>
      <c r="B319" t="s">
        <v>293</v>
      </c>
      <c r="C319">
        <v>7000</v>
      </c>
      <c r="D319">
        <v>100</v>
      </c>
      <c r="E319" s="1">
        <v>1.4316699999999999E-3</v>
      </c>
      <c r="F319">
        <v>140.00452999999999</v>
      </c>
      <c r="G319">
        <v>139.85902999999999</v>
      </c>
      <c r="H319">
        <v>139.850538</v>
      </c>
      <c r="I319" t="s">
        <v>9</v>
      </c>
      <c r="J319">
        <v>0</v>
      </c>
      <c r="K319">
        <v>140.00452999999999</v>
      </c>
      <c r="L319">
        <v>140.00452999999999</v>
      </c>
      <c r="M319">
        <v>7.3458170000000003</v>
      </c>
      <c r="N319">
        <v>5</v>
      </c>
      <c r="O319" s="2">
        <v>112.75433</v>
      </c>
      <c r="P319" s="2">
        <v>106.000338</v>
      </c>
      <c r="Q319" t="s">
        <v>9</v>
      </c>
      <c r="R319">
        <v>0</v>
      </c>
    </row>
    <row r="320" spans="1:18" x14ac:dyDescent="0.3">
      <c r="A320" t="s">
        <v>384</v>
      </c>
      <c r="B320" t="s">
        <v>294</v>
      </c>
      <c r="C320">
        <v>7000</v>
      </c>
      <c r="D320">
        <v>200</v>
      </c>
      <c r="E320" s="1">
        <v>1.4316699999999999E-3</v>
      </c>
      <c r="F320">
        <v>247.84585000000001</v>
      </c>
      <c r="G320">
        <v>247.68423999999999</v>
      </c>
      <c r="H320">
        <v>247.39899199999999</v>
      </c>
      <c r="I320" t="s">
        <v>9</v>
      </c>
      <c r="J320">
        <v>0</v>
      </c>
      <c r="K320">
        <v>247.84585000000001</v>
      </c>
      <c r="L320">
        <v>247.803718</v>
      </c>
      <c r="M320">
        <v>43.056511</v>
      </c>
      <c r="N320">
        <v>3</v>
      </c>
      <c r="O320" s="2">
        <v>191.00614999999999</v>
      </c>
      <c r="P320" s="2">
        <v>176.892144</v>
      </c>
      <c r="Q320" t="s">
        <v>9</v>
      </c>
      <c r="R320">
        <v>0</v>
      </c>
    </row>
    <row r="321" spans="1:18" x14ac:dyDescent="0.3">
      <c r="A321" t="s">
        <v>384</v>
      </c>
      <c r="B321" t="s">
        <v>295</v>
      </c>
      <c r="C321">
        <v>7000</v>
      </c>
      <c r="D321">
        <v>300</v>
      </c>
      <c r="E321" s="1">
        <v>1.4316699999999999E-3</v>
      </c>
      <c r="F321">
        <v>338.79363000000001</v>
      </c>
      <c r="G321">
        <v>338.38380999999998</v>
      </c>
      <c r="H321">
        <v>337.14440000000002</v>
      </c>
      <c r="I321" t="s">
        <v>9</v>
      </c>
      <c r="J321">
        <v>0</v>
      </c>
      <c r="K321">
        <v>338.79363000000001</v>
      </c>
      <c r="L321">
        <v>338.64009600000003</v>
      </c>
      <c r="M321">
        <v>24.907036000000002</v>
      </c>
      <c r="N321">
        <v>3</v>
      </c>
      <c r="O321" s="2">
        <v>252.26052999999999</v>
      </c>
      <c r="P321" s="2">
        <v>239.114664</v>
      </c>
      <c r="Q321" t="s">
        <v>9</v>
      </c>
      <c r="R321">
        <v>0</v>
      </c>
    </row>
    <row r="322" spans="1:18" x14ac:dyDescent="0.3">
      <c r="A322" t="s">
        <v>384</v>
      </c>
      <c r="B322" t="s">
        <v>296</v>
      </c>
      <c r="C322">
        <v>7000</v>
      </c>
      <c r="D322">
        <v>400</v>
      </c>
      <c r="E322" s="1">
        <v>1.4316699999999999E-3</v>
      </c>
      <c r="F322">
        <v>419.42606999999998</v>
      </c>
      <c r="G322">
        <v>417.48181</v>
      </c>
      <c r="H322">
        <v>416.27263799999997</v>
      </c>
      <c r="I322" t="s">
        <v>9</v>
      </c>
      <c r="J322">
        <v>0</v>
      </c>
      <c r="K322">
        <v>418.8999</v>
      </c>
      <c r="L322">
        <v>418.72498400000001</v>
      </c>
      <c r="M322" t="s">
        <v>9</v>
      </c>
      <c r="N322">
        <v>0</v>
      </c>
      <c r="O322" s="2">
        <v>293.32414</v>
      </c>
      <c r="P322" s="2">
        <v>282.34068400000001</v>
      </c>
      <c r="Q322" t="s">
        <v>9</v>
      </c>
      <c r="R322">
        <v>0</v>
      </c>
    </row>
    <row r="323" spans="1:18" x14ac:dyDescent="0.3">
      <c r="A323" t="s">
        <v>384</v>
      </c>
      <c r="B323" t="s">
        <v>297</v>
      </c>
      <c r="C323">
        <v>7000</v>
      </c>
      <c r="D323">
        <v>500</v>
      </c>
      <c r="E323" s="1">
        <v>1.4316699999999999E-3</v>
      </c>
      <c r="F323">
        <v>494.06198999999998</v>
      </c>
      <c r="G323">
        <v>492.44011999999998</v>
      </c>
      <c r="H323">
        <v>491.27867600000002</v>
      </c>
      <c r="I323" t="s">
        <v>9</v>
      </c>
      <c r="J323">
        <v>0</v>
      </c>
      <c r="K323">
        <v>493.46212000000003</v>
      </c>
      <c r="L323">
        <v>493.07862799999998</v>
      </c>
      <c r="M323" t="s">
        <v>9</v>
      </c>
      <c r="N323">
        <v>0</v>
      </c>
      <c r="O323" s="2">
        <v>380.15454999999997</v>
      </c>
      <c r="P323" s="2">
        <v>360.83122800000001</v>
      </c>
      <c r="Q323" t="s">
        <v>9</v>
      </c>
      <c r="R323">
        <v>0</v>
      </c>
    </row>
    <row r="324" spans="1:18" x14ac:dyDescent="0.3">
      <c r="A324" t="s">
        <v>384</v>
      </c>
      <c r="B324" t="s">
        <v>298</v>
      </c>
      <c r="C324">
        <v>7000</v>
      </c>
      <c r="D324">
        <v>100</v>
      </c>
      <c r="E324" s="1">
        <v>1.50373E-3</v>
      </c>
      <c r="F324">
        <v>161.7431</v>
      </c>
      <c r="G324">
        <v>161.7431</v>
      </c>
      <c r="H324">
        <v>161.05237199999999</v>
      </c>
      <c r="I324">
        <v>46.228766</v>
      </c>
      <c r="J324">
        <v>1</v>
      </c>
      <c r="K324">
        <v>161.7431</v>
      </c>
      <c r="L324">
        <v>161.7431</v>
      </c>
      <c r="M324">
        <v>0.116628</v>
      </c>
      <c r="N324">
        <v>5</v>
      </c>
      <c r="O324" s="2">
        <v>114.07156999999999</v>
      </c>
      <c r="P324" s="2">
        <v>108.546684</v>
      </c>
      <c r="Q324" t="s">
        <v>9</v>
      </c>
      <c r="R324">
        <v>0</v>
      </c>
    </row>
    <row r="325" spans="1:18" x14ac:dyDescent="0.3">
      <c r="A325" t="s">
        <v>384</v>
      </c>
      <c r="B325" t="s">
        <v>299</v>
      </c>
      <c r="C325">
        <v>7000</v>
      </c>
      <c r="D325">
        <v>200</v>
      </c>
      <c r="E325" s="1">
        <v>1.50373E-3</v>
      </c>
      <c r="F325">
        <v>285.37745999999999</v>
      </c>
      <c r="G325">
        <v>285.37745999999999</v>
      </c>
      <c r="H325">
        <v>284.56900400000001</v>
      </c>
      <c r="I325">
        <v>6.471571</v>
      </c>
      <c r="J325">
        <v>1</v>
      </c>
      <c r="K325">
        <v>285.37745999999999</v>
      </c>
      <c r="L325">
        <v>285.37745999999999</v>
      </c>
      <c r="M325">
        <v>6.3148140000000001</v>
      </c>
      <c r="N325">
        <v>5</v>
      </c>
      <c r="O325" s="2">
        <v>202.87291999999999</v>
      </c>
      <c r="P325" s="2">
        <v>194.13234800000001</v>
      </c>
      <c r="Q325" t="s">
        <v>9</v>
      </c>
      <c r="R325">
        <v>0</v>
      </c>
    </row>
    <row r="326" spans="1:18" x14ac:dyDescent="0.3">
      <c r="A326" t="s">
        <v>384</v>
      </c>
      <c r="B326" t="s">
        <v>300</v>
      </c>
      <c r="C326">
        <v>7000</v>
      </c>
      <c r="D326">
        <v>300</v>
      </c>
      <c r="E326" s="1">
        <v>1.50373E-3</v>
      </c>
      <c r="F326">
        <v>390.66397000000001</v>
      </c>
      <c r="G326">
        <v>389.47016000000002</v>
      </c>
      <c r="H326">
        <v>388.53235999999998</v>
      </c>
      <c r="I326" t="s">
        <v>9</v>
      </c>
      <c r="J326">
        <v>0</v>
      </c>
      <c r="K326">
        <v>390.02454999999998</v>
      </c>
      <c r="L326">
        <v>389.92920800000002</v>
      </c>
      <c r="M326" t="s">
        <v>9</v>
      </c>
      <c r="N326">
        <v>0</v>
      </c>
      <c r="O326" s="2">
        <v>272.95778999999999</v>
      </c>
      <c r="P326" s="2">
        <v>261.17338799999999</v>
      </c>
      <c r="Q326" t="s">
        <v>9</v>
      </c>
      <c r="R326">
        <v>0</v>
      </c>
    </row>
    <row r="327" spans="1:18" x14ac:dyDescent="0.3">
      <c r="A327" t="s">
        <v>384</v>
      </c>
      <c r="B327" t="s">
        <v>301</v>
      </c>
      <c r="C327">
        <v>7000</v>
      </c>
      <c r="D327">
        <v>400</v>
      </c>
      <c r="E327" s="1">
        <v>1.50373E-3</v>
      </c>
      <c r="F327">
        <v>485.51931999999999</v>
      </c>
      <c r="G327">
        <v>483.26459999999997</v>
      </c>
      <c r="H327">
        <v>482.49301200000002</v>
      </c>
      <c r="I327" t="s">
        <v>9</v>
      </c>
      <c r="J327">
        <v>0</v>
      </c>
      <c r="K327">
        <v>485.29138</v>
      </c>
      <c r="L327">
        <v>485.01092199999999</v>
      </c>
      <c r="M327" t="s">
        <v>9</v>
      </c>
      <c r="N327">
        <v>0</v>
      </c>
      <c r="O327" s="2">
        <v>365.34737000000001</v>
      </c>
      <c r="P327" s="2">
        <v>326.52769999999998</v>
      </c>
      <c r="Q327" t="s">
        <v>9</v>
      </c>
      <c r="R327">
        <v>0</v>
      </c>
    </row>
    <row r="328" spans="1:18" x14ac:dyDescent="0.3">
      <c r="A328" t="s">
        <v>384</v>
      </c>
      <c r="B328" t="s">
        <v>302</v>
      </c>
      <c r="C328">
        <v>7000</v>
      </c>
      <c r="D328">
        <v>500</v>
      </c>
      <c r="E328" s="1">
        <v>1.50373E-3</v>
      </c>
      <c r="F328">
        <v>572.19514000000004</v>
      </c>
      <c r="G328">
        <v>571.18679999999995</v>
      </c>
      <c r="H328">
        <v>569.81491200000005</v>
      </c>
      <c r="I328" t="s">
        <v>9</v>
      </c>
      <c r="J328">
        <v>0</v>
      </c>
      <c r="K328">
        <v>571.38815</v>
      </c>
      <c r="L328">
        <v>571.191776</v>
      </c>
      <c r="M328" t="s">
        <v>9</v>
      </c>
      <c r="N328">
        <v>0</v>
      </c>
      <c r="O328" s="2">
        <v>394.62335000000002</v>
      </c>
      <c r="P328" s="2">
        <v>384.203236</v>
      </c>
      <c r="Q328" t="s">
        <v>9</v>
      </c>
      <c r="R328">
        <v>0</v>
      </c>
    </row>
    <row r="329" spans="1:18" x14ac:dyDescent="0.3">
      <c r="A329" t="s">
        <v>384</v>
      </c>
      <c r="B329" t="s">
        <v>303</v>
      </c>
      <c r="C329">
        <v>7000</v>
      </c>
      <c r="D329">
        <v>100</v>
      </c>
      <c r="E329" s="1">
        <v>1.5786299999999999E-3</v>
      </c>
      <c r="F329">
        <v>147.46025</v>
      </c>
      <c r="G329">
        <v>147.46025</v>
      </c>
      <c r="H329">
        <v>147.46025</v>
      </c>
      <c r="I329">
        <v>23.421669999999999</v>
      </c>
      <c r="J329">
        <v>5</v>
      </c>
      <c r="K329">
        <v>147.46025</v>
      </c>
      <c r="L329">
        <v>147.46025</v>
      </c>
      <c r="M329">
        <v>0.60790999999999995</v>
      </c>
      <c r="N329">
        <v>5</v>
      </c>
      <c r="O329" s="2">
        <v>119.34896000000001</v>
      </c>
      <c r="P329" s="2">
        <v>115.65856599999999</v>
      </c>
      <c r="Q329" t="s">
        <v>9</v>
      </c>
      <c r="R329">
        <v>0</v>
      </c>
    </row>
    <row r="330" spans="1:18" x14ac:dyDescent="0.3">
      <c r="A330" t="s">
        <v>384</v>
      </c>
      <c r="B330" t="s">
        <v>304</v>
      </c>
      <c r="C330">
        <v>7000</v>
      </c>
      <c r="D330">
        <v>200</v>
      </c>
      <c r="E330" s="1">
        <v>1.5786299999999999E-3</v>
      </c>
      <c r="F330">
        <v>256.29746</v>
      </c>
      <c r="G330">
        <v>255.91072</v>
      </c>
      <c r="H330">
        <v>255.52034399999999</v>
      </c>
      <c r="I330" t="s">
        <v>9</v>
      </c>
      <c r="J330">
        <v>0</v>
      </c>
      <c r="K330">
        <v>256.29746</v>
      </c>
      <c r="L330">
        <v>256.21625999999998</v>
      </c>
      <c r="M330">
        <v>41.990220999999998</v>
      </c>
      <c r="N330">
        <v>1</v>
      </c>
      <c r="O330" s="2">
        <v>198.96678</v>
      </c>
      <c r="P330" s="2">
        <v>188.087132</v>
      </c>
      <c r="Q330" t="s">
        <v>9</v>
      </c>
      <c r="R330">
        <v>0</v>
      </c>
    </row>
    <row r="331" spans="1:18" x14ac:dyDescent="0.3">
      <c r="A331" t="s">
        <v>384</v>
      </c>
      <c r="B331" t="s">
        <v>305</v>
      </c>
      <c r="C331">
        <v>7000</v>
      </c>
      <c r="D331">
        <v>300</v>
      </c>
      <c r="E331" s="1">
        <v>1.5786299999999999E-3</v>
      </c>
      <c r="F331">
        <v>350.39949999999999</v>
      </c>
      <c r="G331">
        <v>349.89794999999998</v>
      </c>
      <c r="H331">
        <v>349.11121200000002</v>
      </c>
      <c r="I331" t="s">
        <v>9</v>
      </c>
      <c r="J331">
        <v>0</v>
      </c>
      <c r="K331">
        <v>350.32562000000001</v>
      </c>
      <c r="L331">
        <v>350.09795600000001</v>
      </c>
      <c r="M331" t="s">
        <v>9</v>
      </c>
      <c r="N331">
        <v>0</v>
      </c>
      <c r="O331" s="2">
        <v>267.4271</v>
      </c>
      <c r="P331" s="2">
        <v>250.31087199999999</v>
      </c>
      <c r="Q331" t="s">
        <v>9</v>
      </c>
      <c r="R331">
        <v>0</v>
      </c>
    </row>
    <row r="332" spans="1:18" x14ac:dyDescent="0.3">
      <c r="A332" t="s">
        <v>384</v>
      </c>
      <c r="B332" t="s">
        <v>306</v>
      </c>
      <c r="C332">
        <v>7000</v>
      </c>
      <c r="D332">
        <v>400</v>
      </c>
      <c r="E332" s="1">
        <v>1.5786299999999999E-3</v>
      </c>
      <c r="F332">
        <v>435.43218000000002</v>
      </c>
      <c r="G332">
        <v>433.73253</v>
      </c>
      <c r="H332">
        <v>432.65671800000001</v>
      </c>
      <c r="I332" t="s">
        <v>9</v>
      </c>
      <c r="J332">
        <v>0</v>
      </c>
      <c r="K332">
        <v>435.43218000000002</v>
      </c>
      <c r="L332">
        <v>435.06743399999999</v>
      </c>
      <c r="M332">
        <v>28.372845999999999</v>
      </c>
      <c r="N332">
        <v>1</v>
      </c>
      <c r="O332" s="2">
        <v>314.36304000000001</v>
      </c>
      <c r="P332" s="2">
        <v>303.00376</v>
      </c>
      <c r="Q332" t="s">
        <v>9</v>
      </c>
      <c r="R332">
        <v>0</v>
      </c>
    </row>
    <row r="333" spans="1:18" x14ac:dyDescent="0.3">
      <c r="A333" t="s">
        <v>384</v>
      </c>
      <c r="B333" t="s">
        <v>307</v>
      </c>
      <c r="C333">
        <v>7000</v>
      </c>
      <c r="D333">
        <v>500</v>
      </c>
      <c r="E333" s="1">
        <v>1.5786299999999999E-3</v>
      </c>
      <c r="F333">
        <v>512.72307999999998</v>
      </c>
      <c r="G333">
        <v>511.16978</v>
      </c>
      <c r="H333">
        <v>510.01304199999998</v>
      </c>
      <c r="I333" t="s">
        <v>9</v>
      </c>
      <c r="J333">
        <v>0</v>
      </c>
      <c r="K333">
        <v>512.27072999999996</v>
      </c>
      <c r="L333">
        <v>511.92844000000002</v>
      </c>
      <c r="M333" t="s">
        <v>9</v>
      </c>
      <c r="N333">
        <v>0</v>
      </c>
      <c r="O333" s="2">
        <v>379.13231999999999</v>
      </c>
      <c r="P333" s="2">
        <v>356.768214</v>
      </c>
      <c r="Q333" t="s">
        <v>9</v>
      </c>
      <c r="R333">
        <v>0</v>
      </c>
    </row>
    <row r="334" spans="1:18" x14ac:dyDescent="0.3">
      <c r="A334" t="s">
        <v>384</v>
      </c>
      <c r="B334" t="s">
        <v>308</v>
      </c>
      <c r="C334">
        <v>7000</v>
      </c>
      <c r="D334">
        <v>100</v>
      </c>
      <c r="E334" s="1">
        <v>1.4308599999999999E-3</v>
      </c>
      <c r="F334">
        <v>145.03611000000001</v>
      </c>
      <c r="G334">
        <v>145.03611000000001</v>
      </c>
      <c r="H334">
        <v>145.03163599999999</v>
      </c>
      <c r="I334">
        <v>35.157010999999997</v>
      </c>
      <c r="J334">
        <v>4</v>
      </c>
      <c r="K334">
        <v>145.03611000000001</v>
      </c>
      <c r="L334">
        <v>145.03611000000001</v>
      </c>
      <c r="M334">
        <v>2.1334599999999999</v>
      </c>
      <c r="N334">
        <v>5</v>
      </c>
      <c r="O334" s="2">
        <v>115.83778</v>
      </c>
      <c r="P334" s="2">
        <v>110.116086</v>
      </c>
      <c r="Q334" t="s">
        <v>9</v>
      </c>
      <c r="R334">
        <v>0</v>
      </c>
    </row>
    <row r="335" spans="1:18" x14ac:dyDescent="0.3">
      <c r="A335" t="s">
        <v>384</v>
      </c>
      <c r="B335" t="s">
        <v>309</v>
      </c>
      <c r="C335">
        <v>7000</v>
      </c>
      <c r="D335">
        <v>200</v>
      </c>
      <c r="E335" s="1">
        <v>1.4308599999999999E-3</v>
      </c>
      <c r="F335">
        <v>257.40258999999998</v>
      </c>
      <c r="G335">
        <v>256.70634000000001</v>
      </c>
      <c r="H335">
        <v>255.58998600000001</v>
      </c>
      <c r="I335" t="s">
        <v>9</v>
      </c>
      <c r="J335">
        <v>0</v>
      </c>
      <c r="K335">
        <v>257.40258999999998</v>
      </c>
      <c r="L335">
        <v>257.28757400000001</v>
      </c>
      <c r="M335">
        <v>5.9013400000000003</v>
      </c>
      <c r="N335">
        <v>2</v>
      </c>
      <c r="O335" s="2">
        <v>209.70851999999999</v>
      </c>
      <c r="P335" s="2">
        <v>198.52690999999999</v>
      </c>
      <c r="Q335" t="s">
        <v>9</v>
      </c>
      <c r="R335">
        <v>0</v>
      </c>
    </row>
    <row r="336" spans="1:18" x14ac:dyDescent="0.3">
      <c r="A336" t="s">
        <v>384</v>
      </c>
      <c r="B336" t="s">
        <v>310</v>
      </c>
      <c r="C336">
        <v>7000</v>
      </c>
      <c r="D336">
        <v>300</v>
      </c>
      <c r="E336" s="1">
        <v>1.4308599999999999E-3</v>
      </c>
      <c r="F336">
        <v>356.18635999999998</v>
      </c>
      <c r="G336">
        <v>352.94099999999997</v>
      </c>
      <c r="H336">
        <v>352.20198399999998</v>
      </c>
      <c r="I336" t="s">
        <v>9</v>
      </c>
      <c r="J336">
        <v>0</v>
      </c>
      <c r="K336">
        <v>354.89026000000001</v>
      </c>
      <c r="L336">
        <v>354.64640600000001</v>
      </c>
      <c r="M336" t="s">
        <v>9</v>
      </c>
      <c r="N336">
        <v>0</v>
      </c>
      <c r="O336" s="2">
        <v>265.5181</v>
      </c>
      <c r="P336" s="2">
        <v>262.12535600000001</v>
      </c>
      <c r="Q336" t="s">
        <v>9</v>
      </c>
      <c r="R336">
        <v>0</v>
      </c>
    </row>
    <row r="337" spans="1:18" x14ac:dyDescent="0.3">
      <c r="A337" t="s">
        <v>384</v>
      </c>
      <c r="B337" t="s">
        <v>311</v>
      </c>
      <c r="C337">
        <v>7000</v>
      </c>
      <c r="D337">
        <v>400</v>
      </c>
      <c r="E337" s="1">
        <v>1.4308599999999999E-3</v>
      </c>
      <c r="F337">
        <v>447.37688000000003</v>
      </c>
      <c r="G337">
        <v>444.83702</v>
      </c>
      <c r="H337">
        <v>442.680902</v>
      </c>
      <c r="I337" t="s">
        <v>9</v>
      </c>
      <c r="J337">
        <v>0</v>
      </c>
      <c r="K337">
        <v>446.34676999999999</v>
      </c>
      <c r="L337">
        <v>446.04652199999998</v>
      </c>
      <c r="M337" t="s">
        <v>9</v>
      </c>
      <c r="N337">
        <v>0</v>
      </c>
      <c r="O337" s="2">
        <v>328.1669</v>
      </c>
      <c r="P337" s="2">
        <v>317.77804600000002</v>
      </c>
      <c r="Q337" t="s">
        <v>9</v>
      </c>
      <c r="R337">
        <v>0</v>
      </c>
    </row>
    <row r="338" spans="1:18" x14ac:dyDescent="0.3">
      <c r="A338" t="s">
        <v>384</v>
      </c>
      <c r="B338" t="s">
        <v>312</v>
      </c>
      <c r="C338">
        <v>7000</v>
      </c>
      <c r="D338">
        <v>500</v>
      </c>
      <c r="E338" s="1">
        <v>1.4308599999999999E-3</v>
      </c>
      <c r="F338">
        <v>533.21672000000001</v>
      </c>
      <c r="G338">
        <v>530.67209000000003</v>
      </c>
      <c r="H338">
        <v>529.58963400000005</v>
      </c>
      <c r="I338" t="s">
        <v>9</v>
      </c>
      <c r="J338">
        <v>0</v>
      </c>
      <c r="K338">
        <v>532.37554</v>
      </c>
      <c r="L338">
        <v>532.15853200000004</v>
      </c>
      <c r="M338" t="s">
        <v>9</v>
      </c>
      <c r="N338">
        <v>0</v>
      </c>
      <c r="O338" s="2">
        <v>381.12632000000002</v>
      </c>
      <c r="P338" s="2">
        <v>372.77113000000003</v>
      </c>
      <c r="Q338" t="s">
        <v>9</v>
      </c>
      <c r="R338">
        <v>0</v>
      </c>
    </row>
    <row r="339" spans="1:18" x14ac:dyDescent="0.3">
      <c r="A339" s="8" t="s">
        <v>385</v>
      </c>
      <c r="B339" s="8"/>
      <c r="C339" s="8">
        <v>7000</v>
      </c>
      <c r="D339" s="8"/>
      <c r="E339" s="9"/>
      <c r="F339" s="8"/>
      <c r="G339" s="8">
        <f t="array" ref="G339">AVERAGE((F289:F338-G289:G338)/F289:F338)</f>
        <v>2.6214849643415423E-3</v>
      </c>
      <c r="H339" s="8">
        <f t="array" ref="H339">AVERAGE((F289:F338-H289:H338)/F289:F338)</f>
        <v>4.8701247413402617E-3</v>
      </c>
      <c r="I339" s="8" t="s">
        <v>9</v>
      </c>
      <c r="J339" s="8">
        <f>SUM(J289:J338)</f>
        <v>19</v>
      </c>
      <c r="K339" s="8">
        <f t="array" ref="K339">AVERAGE((F289:F338-K289:K338)/F289:F338)</f>
        <v>6.3619381944724342E-4</v>
      </c>
      <c r="L339" s="8">
        <f t="array" ref="L339">AVERAGE((F289:F338-L289:L338)/F289:F338)</f>
        <v>1.0789381756105482E-3</v>
      </c>
      <c r="M339" s="8" t="s">
        <v>9</v>
      </c>
      <c r="N339" s="8">
        <f>SUM(N289:N338)</f>
        <v>72</v>
      </c>
      <c r="O339" s="10">
        <f t="array" ref="O339">AVERAGE((F289:F338-O289:O338)/F289:F338)</f>
        <v>0.2526580074031784</v>
      </c>
      <c r="P339" s="10">
        <f t="array" ref="P339">AVERAGE((F289:F338-P289:P338)/F289:F338)</f>
        <v>0.28801244013039012</v>
      </c>
      <c r="Q339" s="8" t="s">
        <v>9</v>
      </c>
      <c r="R339" s="8">
        <f>SUM(R289:R338)</f>
        <v>0</v>
      </c>
    </row>
    <row r="340" spans="1:18" x14ac:dyDescent="0.3">
      <c r="A340" t="s">
        <v>386</v>
      </c>
      <c r="B340" t="s">
        <v>313</v>
      </c>
      <c r="C340">
        <v>9269</v>
      </c>
      <c r="D340">
        <v>100</v>
      </c>
      <c r="E340" s="1">
        <v>7.1491999999999997E-4</v>
      </c>
      <c r="F340">
        <v>417.89166999999998</v>
      </c>
      <c r="G340">
        <v>417.89166999999998</v>
      </c>
      <c r="H340">
        <v>417.89166999999998</v>
      </c>
      <c r="I340">
        <v>1.157E-3</v>
      </c>
      <c r="J340">
        <v>5</v>
      </c>
      <c r="K340">
        <v>417.89166999999998</v>
      </c>
      <c r="L340">
        <v>417.89166999999998</v>
      </c>
      <c r="M340">
        <v>1.3519999999999999E-3</v>
      </c>
      <c r="N340">
        <v>5</v>
      </c>
      <c r="O340" s="2">
        <v>345.50551999999999</v>
      </c>
      <c r="P340" s="2">
        <v>287.65016000000003</v>
      </c>
      <c r="Q340" t="s">
        <v>9</v>
      </c>
      <c r="R340">
        <v>0</v>
      </c>
    </row>
    <row r="341" spans="1:18" x14ac:dyDescent="0.3">
      <c r="A341" t="s">
        <v>386</v>
      </c>
      <c r="B341" t="s">
        <v>314</v>
      </c>
      <c r="C341">
        <v>9269</v>
      </c>
      <c r="D341">
        <v>200</v>
      </c>
      <c r="E341" s="1">
        <v>7.1491999999999997E-4</v>
      </c>
      <c r="F341">
        <v>594.53268000000003</v>
      </c>
      <c r="G341">
        <v>594.53268000000003</v>
      </c>
      <c r="H341">
        <v>594.05251199999998</v>
      </c>
      <c r="I341">
        <v>26.875124</v>
      </c>
      <c r="J341">
        <v>1</v>
      </c>
      <c r="K341">
        <v>594.53268000000003</v>
      </c>
      <c r="L341">
        <v>594.44739800000002</v>
      </c>
      <c r="M341">
        <v>11.361485</v>
      </c>
      <c r="N341">
        <v>4</v>
      </c>
      <c r="O341" s="2">
        <v>498.63461999999998</v>
      </c>
      <c r="P341" s="2">
        <v>449.42952000000002</v>
      </c>
      <c r="Q341" t="s">
        <v>9</v>
      </c>
      <c r="R341">
        <v>0</v>
      </c>
    </row>
    <row r="342" spans="1:18" x14ac:dyDescent="0.3">
      <c r="A342" t="s">
        <v>386</v>
      </c>
      <c r="B342" t="s">
        <v>315</v>
      </c>
      <c r="C342">
        <v>9269</v>
      </c>
      <c r="D342">
        <v>300</v>
      </c>
      <c r="E342" s="1">
        <v>7.1491999999999997E-4</v>
      </c>
      <c r="F342">
        <v>733.41214000000002</v>
      </c>
      <c r="G342">
        <v>732.53733</v>
      </c>
      <c r="H342">
        <v>731.20412599999997</v>
      </c>
      <c r="I342" t="s">
        <v>9</v>
      </c>
      <c r="J342">
        <v>0</v>
      </c>
      <c r="K342">
        <v>732.53733</v>
      </c>
      <c r="L342">
        <v>732.48768399999994</v>
      </c>
      <c r="M342" t="s">
        <v>9</v>
      </c>
      <c r="N342">
        <v>0</v>
      </c>
      <c r="O342" s="2">
        <v>640.45676000000003</v>
      </c>
      <c r="P342" s="2">
        <v>579.71099000000004</v>
      </c>
      <c r="Q342" t="s">
        <v>9</v>
      </c>
      <c r="R342">
        <v>0</v>
      </c>
    </row>
    <row r="343" spans="1:18" x14ac:dyDescent="0.3">
      <c r="A343" t="s">
        <v>386</v>
      </c>
      <c r="B343" t="s">
        <v>316</v>
      </c>
      <c r="C343">
        <v>9269</v>
      </c>
      <c r="D343">
        <v>400</v>
      </c>
      <c r="E343" s="1">
        <v>7.1491999999999997E-4</v>
      </c>
      <c r="F343">
        <v>854.72222999999997</v>
      </c>
      <c r="G343">
        <v>852.25382999999999</v>
      </c>
      <c r="H343">
        <v>851.04265799999996</v>
      </c>
      <c r="I343" t="s">
        <v>9</v>
      </c>
      <c r="J343">
        <v>0</v>
      </c>
      <c r="K343">
        <v>854.34204</v>
      </c>
      <c r="L343">
        <v>853.870676</v>
      </c>
      <c r="M343" t="s">
        <v>9</v>
      </c>
      <c r="N343">
        <v>0</v>
      </c>
      <c r="O343" s="2">
        <v>724.39059999999995</v>
      </c>
      <c r="P343" s="2">
        <v>698.27013399999998</v>
      </c>
      <c r="Q343" t="s">
        <v>9</v>
      </c>
      <c r="R343">
        <v>0</v>
      </c>
    </row>
    <row r="344" spans="1:18" x14ac:dyDescent="0.3">
      <c r="A344" t="s">
        <v>386</v>
      </c>
      <c r="B344" t="s">
        <v>317</v>
      </c>
      <c r="C344">
        <v>9269</v>
      </c>
      <c r="D344">
        <v>500</v>
      </c>
      <c r="E344" s="1">
        <v>7.1491999999999997E-4</v>
      </c>
      <c r="F344">
        <v>963.02416000000005</v>
      </c>
      <c r="G344">
        <v>959.44696999999996</v>
      </c>
      <c r="H344">
        <v>958.19125599999995</v>
      </c>
      <c r="I344" t="s">
        <v>9</v>
      </c>
      <c r="J344">
        <v>0</v>
      </c>
      <c r="K344">
        <v>961.89425000000006</v>
      </c>
      <c r="L344">
        <v>961.75901599999997</v>
      </c>
      <c r="M344" t="s">
        <v>9</v>
      </c>
      <c r="N344">
        <v>0</v>
      </c>
      <c r="O344" s="2">
        <v>794.44883000000004</v>
      </c>
      <c r="P344" s="2">
        <v>782.49938799999995</v>
      </c>
      <c r="Q344" t="s">
        <v>9</v>
      </c>
      <c r="R344">
        <v>0</v>
      </c>
    </row>
    <row r="345" spans="1:18" x14ac:dyDescent="0.3">
      <c r="A345" s="8" t="s">
        <v>387</v>
      </c>
      <c r="B345" s="8"/>
      <c r="C345" s="8">
        <v>9269</v>
      </c>
      <c r="D345" s="8"/>
      <c r="E345" s="9"/>
      <c r="F345" s="8"/>
      <c r="G345" s="8">
        <f t="array" ref="G345">AVERAGE((F340:F344-G340:G344)/F340:F344)</f>
        <v>1.5590576978140082E-3</v>
      </c>
      <c r="H345" s="8">
        <f t="array" ref="H345">AVERAGE((F340:F344-H340:H344)/F340:F344)</f>
        <v>2.6283403189026962E-3</v>
      </c>
      <c r="I345" s="8" t="s">
        <v>9</v>
      </c>
      <c r="J345" s="8">
        <f>SUM(J340:J344)</f>
        <v>6</v>
      </c>
      <c r="K345" s="8">
        <f t="array" ref="K345">AVERAGE((F340:F344-K340:K344)/F340:F344)</f>
        <v>5.621798468248122E-4</v>
      </c>
      <c r="L345" s="8">
        <f t="array" ref="L345">AVERAGE((F340:F344-L340:L344)/F340:F344)</f>
        <v>7.4278865537821977E-4</v>
      </c>
      <c r="M345" s="8" t="s">
        <v>9</v>
      </c>
      <c r="N345" s="8">
        <f>SUM(N340:N344)</f>
        <v>9</v>
      </c>
      <c r="O345" s="10">
        <f t="array" ref="O345">AVERAGE((F340:F344-O340:O344)/F340:F344)</f>
        <v>0.15775863556590949</v>
      </c>
      <c r="P345" s="10">
        <f t="array" ref="P345">AVERAGE((F340:F344-P340:P344)/F340:F344)</f>
        <v>0.22715926564001485</v>
      </c>
      <c r="Q345" s="8" t="s">
        <v>9</v>
      </c>
      <c r="R345" s="8">
        <f>SUM(R340:R344)</f>
        <v>0</v>
      </c>
    </row>
    <row r="346" spans="1:18" x14ac:dyDescent="0.3">
      <c r="A346" t="s">
        <v>386</v>
      </c>
      <c r="B346" t="s">
        <v>318</v>
      </c>
      <c r="C346">
        <v>7159</v>
      </c>
      <c r="D346">
        <v>100</v>
      </c>
      <c r="E346" s="1">
        <v>5.9632000000000001E-4</v>
      </c>
      <c r="F346">
        <v>139.14170999999999</v>
      </c>
      <c r="G346">
        <v>139.02106000000001</v>
      </c>
      <c r="H346">
        <v>138.66751600000001</v>
      </c>
      <c r="I346" t="s">
        <v>9</v>
      </c>
      <c r="J346">
        <v>0</v>
      </c>
      <c r="K346">
        <v>139.09605999999999</v>
      </c>
      <c r="L346">
        <v>139.08106000000001</v>
      </c>
      <c r="M346" t="s">
        <v>9</v>
      </c>
      <c r="N346">
        <v>0</v>
      </c>
      <c r="O346" s="7">
        <v>92.320499999999996</v>
      </c>
      <c r="P346" s="2">
        <v>89.07902</v>
      </c>
      <c r="Q346" t="s">
        <v>9</v>
      </c>
      <c r="R346">
        <v>0</v>
      </c>
    </row>
    <row r="347" spans="1:18" x14ac:dyDescent="0.3">
      <c r="A347" t="s">
        <v>386</v>
      </c>
      <c r="B347" t="s">
        <v>319</v>
      </c>
      <c r="C347">
        <v>7159</v>
      </c>
      <c r="D347">
        <v>200</v>
      </c>
      <c r="E347" s="1">
        <v>5.9632000000000001E-4</v>
      </c>
      <c r="F347">
        <v>239.88853</v>
      </c>
      <c r="G347">
        <v>238.74619999999999</v>
      </c>
      <c r="H347">
        <v>237.604648</v>
      </c>
      <c r="I347" t="s">
        <v>9</v>
      </c>
      <c r="J347">
        <v>0</v>
      </c>
      <c r="K347">
        <v>239.13229999999999</v>
      </c>
      <c r="L347">
        <v>239.067678</v>
      </c>
      <c r="M347" t="s">
        <v>9</v>
      </c>
      <c r="N347">
        <v>0</v>
      </c>
      <c r="O347" s="7">
        <v>170.47139000000001</v>
      </c>
      <c r="P347" s="2">
        <v>154.76698200000001</v>
      </c>
      <c r="Q347" t="s">
        <v>9</v>
      </c>
      <c r="R347">
        <v>0</v>
      </c>
    </row>
    <row r="348" spans="1:18" x14ac:dyDescent="0.3">
      <c r="A348" t="s">
        <v>386</v>
      </c>
      <c r="B348" t="s">
        <v>320</v>
      </c>
      <c r="C348">
        <v>7159</v>
      </c>
      <c r="D348">
        <v>300</v>
      </c>
      <c r="E348" s="1">
        <v>5.9632000000000001E-4</v>
      </c>
      <c r="F348">
        <v>324.05162999999999</v>
      </c>
      <c r="G348">
        <v>319.73617000000002</v>
      </c>
      <c r="H348">
        <v>318.6266</v>
      </c>
      <c r="I348" t="s">
        <v>9</v>
      </c>
      <c r="J348">
        <v>0</v>
      </c>
      <c r="K348">
        <v>322.22865999999999</v>
      </c>
      <c r="L348">
        <v>321.97440599999999</v>
      </c>
      <c r="M348" t="s">
        <v>9</v>
      </c>
      <c r="N348">
        <v>0</v>
      </c>
      <c r="O348" s="7">
        <v>210.79056</v>
      </c>
      <c r="P348" s="2">
        <v>207.87481399999999</v>
      </c>
      <c r="Q348" t="s">
        <v>9</v>
      </c>
      <c r="R348">
        <v>0</v>
      </c>
    </row>
    <row r="349" spans="1:18" x14ac:dyDescent="0.3">
      <c r="A349" t="s">
        <v>386</v>
      </c>
      <c r="B349" t="s">
        <v>321</v>
      </c>
      <c r="C349">
        <v>7159</v>
      </c>
      <c r="D349">
        <v>400</v>
      </c>
      <c r="E349" s="1">
        <v>5.9632000000000001E-4</v>
      </c>
      <c r="F349">
        <v>397.10394000000002</v>
      </c>
      <c r="G349">
        <v>392.06358999999998</v>
      </c>
      <c r="H349">
        <v>390.24020400000001</v>
      </c>
      <c r="I349" t="s">
        <v>9</v>
      </c>
      <c r="J349">
        <v>0</v>
      </c>
      <c r="K349">
        <v>393.96911</v>
      </c>
      <c r="L349">
        <v>393.54638999999997</v>
      </c>
      <c r="M349" t="s">
        <v>9</v>
      </c>
      <c r="N349">
        <v>0</v>
      </c>
      <c r="O349" s="7">
        <v>290.55641000000003</v>
      </c>
      <c r="P349" s="2">
        <v>268.12577800000003</v>
      </c>
      <c r="Q349" t="s">
        <v>9</v>
      </c>
      <c r="R349">
        <v>0</v>
      </c>
    </row>
    <row r="350" spans="1:18" x14ac:dyDescent="0.3">
      <c r="A350" t="s">
        <v>386</v>
      </c>
      <c r="B350" t="s">
        <v>322</v>
      </c>
      <c r="C350">
        <v>7159</v>
      </c>
      <c r="D350">
        <v>500</v>
      </c>
      <c r="E350" s="1">
        <v>5.9632000000000001E-4</v>
      </c>
      <c r="F350">
        <v>462.22345999999999</v>
      </c>
      <c r="G350">
        <v>457.83438999999998</v>
      </c>
      <c r="H350">
        <v>456.80411400000003</v>
      </c>
      <c r="I350" t="s">
        <v>9</v>
      </c>
      <c r="J350">
        <v>0</v>
      </c>
      <c r="K350">
        <v>460.65821</v>
      </c>
      <c r="L350">
        <v>460.202786</v>
      </c>
      <c r="M350" t="s">
        <v>9</v>
      </c>
      <c r="N350">
        <v>0</v>
      </c>
      <c r="O350" s="7">
        <v>320.23430999999999</v>
      </c>
      <c r="P350" s="2">
        <v>315.58740599999999</v>
      </c>
      <c r="Q350" t="s">
        <v>9</v>
      </c>
      <c r="R350">
        <v>0</v>
      </c>
    </row>
    <row r="351" spans="1:18" x14ac:dyDescent="0.3">
      <c r="A351" s="8" t="s">
        <v>388</v>
      </c>
      <c r="B351" s="8"/>
      <c r="C351" s="8">
        <v>7159</v>
      </c>
      <c r="D351" s="8"/>
      <c r="E351" s="9"/>
      <c r="F351" s="8"/>
      <c r="G351" s="8">
        <f t="array" ref="G351">AVERAGE((F346:F350-G346:G350)/F346:F350)</f>
        <v>8.2269103605319936E-3</v>
      </c>
      <c r="H351" s="8">
        <f t="array" ref="H351">AVERAGE((F346:F350-H346:H350)/F346:F350)</f>
        <v>1.1735767919018673E-2</v>
      </c>
      <c r="I351" s="8" t="s">
        <v>9</v>
      </c>
      <c r="J351" s="8">
        <f>SUM(J346:J350)</f>
        <v>0</v>
      </c>
      <c r="K351" s="8">
        <f t="array" ref="K351">AVERAGE((F346:F350-K346:K350)/F346:F350)</f>
        <v>4.0773277962307302E-3</v>
      </c>
      <c r="L351" s="8">
        <f t="array" ref="L351">AVERAGE((F346:F350-L346:L350)/F346:F350)</f>
        <v>4.7196465190507729E-3</v>
      </c>
      <c r="M351" s="8" t="s">
        <v>9</v>
      </c>
      <c r="N351" s="8">
        <f>SUM(N346:N350)</f>
        <v>0</v>
      </c>
      <c r="O351" s="10">
        <f t="array" ref="O351">AVERAGE((F346:F350-O346:O350)/F346:F350)</f>
        <v>0.31017737032213855</v>
      </c>
      <c r="P351" s="10">
        <f t="array" ref="P351">AVERAGE((F346:F350-P346:P350)/F346:F350)</f>
        <v>0.34303704753430464</v>
      </c>
      <c r="Q351" s="8" t="s">
        <v>9</v>
      </c>
      <c r="R351" s="8">
        <f>SUM(R346:R350)</f>
        <v>0</v>
      </c>
    </row>
    <row r="352" spans="1:18" x14ac:dyDescent="0.3">
      <c r="A352" t="s">
        <v>386</v>
      </c>
      <c r="B352" t="s">
        <v>323</v>
      </c>
      <c r="C352">
        <v>1021</v>
      </c>
      <c r="D352">
        <v>100</v>
      </c>
      <c r="E352" s="1">
        <v>2.1534069999999999E-2</v>
      </c>
      <c r="F352">
        <v>73.725110000000001</v>
      </c>
      <c r="G352">
        <v>73.725110000000001</v>
      </c>
      <c r="H352">
        <v>73.725110000000001</v>
      </c>
      <c r="I352">
        <v>0.21764</v>
      </c>
      <c r="J352">
        <v>5</v>
      </c>
      <c r="K352">
        <v>73.725110000000001</v>
      </c>
      <c r="L352">
        <v>73.725110000000001</v>
      </c>
      <c r="M352">
        <v>3.4949999999999998E-3</v>
      </c>
      <c r="N352">
        <v>5</v>
      </c>
      <c r="O352" s="2">
        <v>73.424890000000005</v>
      </c>
      <c r="P352" s="2">
        <v>72.602789999999999</v>
      </c>
      <c r="Q352" t="s">
        <v>9</v>
      </c>
      <c r="R352">
        <v>0</v>
      </c>
    </row>
    <row r="353" spans="1:18" x14ac:dyDescent="0.3">
      <c r="A353" t="s">
        <v>386</v>
      </c>
      <c r="B353" t="s">
        <v>324</v>
      </c>
      <c r="C353">
        <v>1021</v>
      </c>
      <c r="D353">
        <v>200</v>
      </c>
      <c r="E353" s="1">
        <v>2.1534069999999999E-2</v>
      </c>
      <c r="F353">
        <v>135.45123000000001</v>
      </c>
      <c r="G353">
        <v>135.45123000000001</v>
      </c>
      <c r="H353">
        <v>135.45123000000001</v>
      </c>
      <c r="I353">
        <v>9.1339760000000005</v>
      </c>
      <c r="J353">
        <v>5</v>
      </c>
      <c r="K353">
        <v>135.45123000000001</v>
      </c>
      <c r="L353">
        <v>135.45123000000001</v>
      </c>
      <c r="M353">
        <v>1.7412719999999999</v>
      </c>
      <c r="N353">
        <v>5</v>
      </c>
      <c r="O353" s="2">
        <v>134.89474000000001</v>
      </c>
      <c r="P353" s="2">
        <v>134.31044600000001</v>
      </c>
      <c r="Q353" t="s">
        <v>9</v>
      </c>
      <c r="R353">
        <v>0</v>
      </c>
    </row>
    <row r="354" spans="1:18" x14ac:dyDescent="0.3">
      <c r="A354" t="s">
        <v>386</v>
      </c>
      <c r="B354" t="s">
        <v>325</v>
      </c>
      <c r="C354">
        <v>1021</v>
      </c>
      <c r="D354">
        <v>300</v>
      </c>
      <c r="E354" s="1">
        <v>2.1534069999999999E-2</v>
      </c>
      <c r="F354">
        <v>180.66899000000001</v>
      </c>
      <c r="G354">
        <v>180.62316000000001</v>
      </c>
      <c r="H354">
        <v>180.52292600000001</v>
      </c>
      <c r="I354" t="s">
        <v>9</v>
      </c>
      <c r="J354">
        <v>0</v>
      </c>
      <c r="K354">
        <v>180.66899000000001</v>
      </c>
      <c r="L354">
        <v>180.66899000000001</v>
      </c>
      <c r="M354">
        <v>6.5146629999999996</v>
      </c>
      <c r="N354">
        <v>5</v>
      </c>
      <c r="O354" s="2">
        <v>180.66899000000001</v>
      </c>
      <c r="P354" s="2">
        <v>180.44611399999999</v>
      </c>
      <c r="Q354">
        <v>13.403993740000001</v>
      </c>
      <c r="R354">
        <v>1</v>
      </c>
    </row>
    <row r="355" spans="1:18" x14ac:dyDescent="0.3">
      <c r="A355" t="s">
        <v>386</v>
      </c>
      <c r="B355" t="s">
        <v>326</v>
      </c>
      <c r="C355">
        <v>1021</v>
      </c>
      <c r="D355">
        <v>400</v>
      </c>
      <c r="E355" s="1">
        <v>2.1534069999999999E-2</v>
      </c>
      <c r="F355">
        <v>216.52959999999999</v>
      </c>
      <c r="G355">
        <v>216.49572000000001</v>
      </c>
      <c r="H355">
        <v>216.418014</v>
      </c>
      <c r="I355" t="s">
        <v>9</v>
      </c>
      <c r="J355">
        <v>0</v>
      </c>
      <c r="K355">
        <v>216.52959999999999</v>
      </c>
      <c r="L355">
        <v>216.52884399999999</v>
      </c>
      <c r="M355">
        <v>24.107068000000002</v>
      </c>
      <c r="N355">
        <v>4</v>
      </c>
      <c r="O355" s="2">
        <v>216.22693000000001</v>
      </c>
      <c r="P355" s="2">
        <v>215.98654999999999</v>
      </c>
      <c r="Q355" t="s">
        <v>9</v>
      </c>
      <c r="R355">
        <v>0</v>
      </c>
    </row>
    <row r="356" spans="1:18" x14ac:dyDescent="0.3">
      <c r="A356" t="s">
        <v>386</v>
      </c>
      <c r="B356" t="s">
        <v>327</v>
      </c>
      <c r="C356">
        <v>1021</v>
      </c>
      <c r="D356">
        <v>500</v>
      </c>
      <c r="E356" s="1">
        <v>2.1534069999999999E-2</v>
      </c>
      <c r="F356">
        <v>247.96358000000001</v>
      </c>
      <c r="G356">
        <v>247.96358000000001</v>
      </c>
      <c r="H356">
        <v>247.94912600000001</v>
      </c>
      <c r="I356">
        <v>21.439928999999999</v>
      </c>
      <c r="J356">
        <v>4</v>
      </c>
      <c r="K356">
        <v>247.96358000000001</v>
      </c>
      <c r="L356">
        <v>247.96358000000001</v>
      </c>
      <c r="M356">
        <v>0.554477</v>
      </c>
      <c r="N356">
        <v>5</v>
      </c>
      <c r="O356" s="2">
        <v>247.31431000000001</v>
      </c>
      <c r="P356" s="2">
        <v>246.924488</v>
      </c>
      <c r="Q356" t="s">
        <v>9</v>
      </c>
      <c r="R356">
        <v>0</v>
      </c>
    </row>
    <row r="357" spans="1:18" x14ac:dyDescent="0.3">
      <c r="A357" s="8" t="s">
        <v>389</v>
      </c>
      <c r="B357" s="8"/>
      <c r="C357" s="8">
        <v>1021</v>
      </c>
      <c r="D357" s="8"/>
      <c r="E357" s="9"/>
      <c r="F357" s="8"/>
      <c r="G357" s="8">
        <f t="array" ref="G357">AVERAGE((F352:F356-G352:G356)/F352:F356)</f>
        <v>8.2027307913297974E-5</v>
      </c>
      <c r="H357" s="8">
        <f t="array" ref="H357">AVERAGE((F352:F356-H352:H356)/F352:F356)</f>
        <v>2.7641821301519539E-4</v>
      </c>
      <c r="I357" s="8" t="s">
        <v>9</v>
      </c>
      <c r="J357" s="8">
        <f>SUM(J352:J356)</f>
        <v>14</v>
      </c>
      <c r="K357" s="8">
        <f t="array" ref="K357">AVERAGE((F352:F356-K352:K356)/F352:F356)</f>
        <v>0</v>
      </c>
      <c r="L357" s="8">
        <f t="array" ref="L357">AVERAGE((F352:F356-L352:L356)/F352:F356)</f>
        <v>6.9828790151142197E-7</v>
      </c>
      <c r="M357" s="8" t="s">
        <v>9</v>
      </c>
      <c r="N357" s="8">
        <f>SUM(N352:N356)</f>
        <v>24</v>
      </c>
      <c r="O357" s="10">
        <f t="array" ref="O357">AVERAGE((F352:F356-O352:O356)/F352:F356)</f>
        <v>2.4393602879305516E-3</v>
      </c>
      <c r="P357" s="10">
        <f t="array" ref="P357">AVERAGE((F352:F356-P352:P356)/F352:F356)</f>
        <v>6.3154452435111395E-3</v>
      </c>
      <c r="Q357" s="8" t="s">
        <v>9</v>
      </c>
      <c r="R357" s="8">
        <f>SUM(R352:R356)</f>
        <v>1</v>
      </c>
    </row>
    <row r="358" spans="1:18" x14ac:dyDescent="0.3">
      <c r="A358" t="s">
        <v>386</v>
      </c>
      <c r="B358" t="s">
        <v>328</v>
      </c>
      <c r="C358">
        <v>8834</v>
      </c>
      <c r="D358">
        <v>100</v>
      </c>
      <c r="E358" s="1">
        <v>1.59604E-3</v>
      </c>
      <c r="F358">
        <v>42.44903</v>
      </c>
      <c r="G358">
        <v>42.44903</v>
      </c>
      <c r="H358">
        <v>42.25224</v>
      </c>
      <c r="I358">
        <v>12.396824000000001</v>
      </c>
      <c r="J358">
        <v>4</v>
      </c>
      <c r="K358">
        <v>42.44903</v>
      </c>
      <c r="L358">
        <v>42.44903</v>
      </c>
      <c r="M358">
        <v>3.0193469999999998</v>
      </c>
      <c r="N358">
        <v>5</v>
      </c>
      <c r="O358" s="2">
        <v>42.44903</v>
      </c>
      <c r="P358" s="2">
        <v>42.411762000000003</v>
      </c>
      <c r="Q358">
        <v>29.857657979999999</v>
      </c>
      <c r="R358">
        <v>1</v>
      </c>
    </row>
    <row r="359" spans="1:18" x14ac:dyDescent="0.3">
      <c r="A359" t="s">
        <v>386</v>
      </c>
      <c r="B359" t="s">
        <v>329</v>
      </c>
      <c r="C359">
        <v>8834</v>
      </c>
      <c r="D359">
        <v>200</v>
      </c>
      <c r="E359" s="1">
        <v>1.59604E-3</v>
      </c>
      <c r="F359">
        <v>78.999459999999999</v>
      </c>
      <c r="G359">
        <v>78.999459999999999</v>
      </c>
      <c r="H359">
        <v>78.937296000000003</v>
      </c>
      <c r="I359">
        <v>13.64176</v>
      </c>
      <c r="J359">
        <v>4</v>
      </c>
      <c r="K359">
        <v>78.999459999999999</v>
      </c>
      <c r="L359">
        <v>78.999459999999999</v>
      </c>
      <c r="M359">
        <v>2.7258040000000001</v>
      </c>
      <c r="N359">
        <v>5</v>
      </c>
      <c r="O359" s="2">
        <v>78.999459999999999</v>
      </c>
      <c r="P359" s="2">
        <v>78.999459999999999</v>
      </c>
      <c r="Q359">
        <v>17.883906469999999</v>
      </c>
      <c r="R359">
        <v>5</v>
      </c>
    </row>
    <row r="360" spans="1:18" x14ac:dyDescent="0.3">
      <c r="A360" t="s">
        <v>386</v>
      </c>
      <c r="B360" t="s">
        <v>330</v>
      </c>
      <c r="C360">
        <v>8834</v>
      </c>
      <c r="D360">
        <v>300</v>
      </c>
      <c r="E360" s="1">
        <v>1.59604E-3</v>
      </c>
      <c r="F360">
        <v>120.42254</v>
      </c>
      <c r="G360">
        <v>120.42254</v>
      </c>
      <c r="H360">
        <v>120.42209</v>
      </c>
      <c r="I360">
        <v>47.429540000000003</v>
      </c>
      <c r="J360">
        <v>2</v>
      </c>
      <c r="K360">
        <v>120.42254</v>
      </c>
      <c r="L360">
        <v>120.42254</v>
      </c>
      <c r="M360">
        <v>2.9994550000000002</v>
      </c>
      <c r="N360">
        <v>5</v>
      </c>
      <c r="O360" s="2">
        <v>120.42254</v>
      </c>
      <c r="P360" s="2">
        <v>120.42254</v>
      </c>
      <c r="Q360">
        <v>32.179186119999997</v>
      </c>
      <c r="R360">
        <v>5</v>
      </c>
    </row>
    <row r="361" spans="1:18" x14ac:dyDescent="0.3">
      <c r="A361" t="s">
        <v>386</v>
      </c>
      <c r="B361" t="s">
        <v>331</v>
      </c>
      <c r="C361">
        <v>8834</v>
      </c>
      <c r="D361">
        <v>400</v>
      </c>
      <c r="E361" s="1">
        <v>1.59604E-3</v>
      </c>
      <c r="F361">
        <v>162.06796</v>
      </c>
      <c r="G361">
        <v>162.06796</v>
      </c>
      <c r="H361">
        <v>162.06796</v>
      </c>
      <c r="I361">
        <v>3.5696159999999999</v>
      </c>
      <c r="J361">
        <v>5</v>
      </c>
      <c r="K361">
        <v>162.06796</v>
      </c>
      <c r="L361">
        <v>162.06796</v>
      </c>
      <c r="M361">
        <v>1.3239000000000001E-2</v>
      </c>
      <c r="N361">
        <v>5</v>
      </c>
      <c r="O361" s="2">
        <v>162.06796</v>
      </c>
      <c r="P361" s="2">
        <v>162.06796</v>
      </c>
      <c r="Q361">
        <v>24.439866550000001</v>
      </c>
      <c r="R361">
        <v>5</v>
      </c>
    </row>
    <row r="362" spans="1:18" x14ac:dyDescent="0.3">
      <c r="A362" t="s">
        <v>386</v>
      </c>
      <c r="B362" t="s">
        <v>332</v>
      </c>
      <c r="C362">
        <v>8834</v>
      </c>
      <c r="D362">
        <v>500</v>
      </c>
      <c r="E362" s="1">
        <v>1.59604E-3</v>
      </c>
      <c r="F362">
        <v>202.68812</v>
      </c>
      <c r="G362">
        <v>202.68812</v>
      </c>
      <c r="H362">
        <v>202.597646</v>
      </c>
      <c r="I362">
        <v>9.6190689999999996</v>
      </c>
      <c r="J362">
        <v>1</v>
      </c>
      <c r="K362">
        <v>202.68812</v>
      </c>
      <c r="L362">
        <v>202.68812</v>
      </c>
      <c r="M362">
        <v>8.6461849999999991</v>
      </c>
      <c r="N362">
        <v>5</v>
      </c>
      <c r="O362" s="2">
        <v>202.68812</v>
      </c>
      <c r="P362" s="2">
        <v>202.65338</v>
      </c>
      <c r="Q362">
        <v>25.975052460000001</v>
      </c>
      <c r="R362">
        <v>3</v>
      </c>
    </row>
    <row r="363" spans="1:18" x14ac:dyDescent="0.3">
      <c r="A363" s="8" t="s">
        <v>390</v>
      </c>
      <c r="B363" s="8"/>
      <c r="C363" s="8">
        <v>8834</v>
      </c>
      <c r="D363" s="8"/>
      <c r="E363" s="8"/>
      <c r="F363" s="8"/>
      <c r="G363" s="8">
        <f t="array" ref="G363">AVERAGE((F358:F362-G358:G362)/F358:F362)</f>
        <v>0</v>
      </c>
      <c r="H363" s="8">
        <f t="array" ref="H363">AVERAGE((F358:F362-H358:H362)/F358:F362)</f>
        <v>1.1745823146463784E-3</v>
      </c>
      <c r="I363" s="8" t="s">
        <v>9</v>
      </c>
      <c r="J363" s="8">
        <f>SUM(J358:J362)</f>
        <v>16</v>
      </c>
      <c r="K363" s="8">
        <f t="array" ref="K363">AVERAGE((F358:F362-K358:K362)/F358:F362)</f>
        <v>0</v>
      </c>
      <c r="L363" s="8">
        <f t="array" ref="L363">AVERAGE((F358:F362-L358:L362)/F358:F362)</f>
        <v>0</v>
      </c>
      <c r="M363" s="8">
        <f>AVERAGE(M358:M362)</f>
        <v>3.4808059999999998</v>
      </c>
      <c r="N363" s="8">
        <f>SUM(N358:N362)</f>
        <v>25</v>
      </c>
      <c r="O363" s="8">
        <f t="array" ref="O363">AVERAGE((F358:F362-O358:O362)/F358:F362)</f>
        <v>0</v>
      </c>
      <c r="P363" s="8">
        <f t="array" ref="P363">AVERAGE((F358:F362-P358:P362)/F358:F362)</f>
        <v>2.0986867296829051E-4</v>
      </c>
      <c r="Q363" s="8" t="s">
        <v>9</v>
      </c>
      <c r="R363" s="8">
        <f>SUM(R358:R362)</f>
        <v>19</v>
      </c>
    </row>
  </sheetData>
  <mergeCells count="3">
    <mergeCell ref="G1:J1"/>
    <mergeCell ref="K1:N1"/>
    <mergeCell ref="O1:R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FCBQP_1core_5runs_summary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 le</cp:lastModifiedBy>
  <dcterms:created xsi:type="dcterms:W3CDTF">2026-07-22T14:34:02Z</dcterms:created>
  <dcterms:modified xsi:type="dcterms:W3CDTF">2026-10-10T11:19:52Z</dcterms:modified>
</cp:coreProperties>
</file>