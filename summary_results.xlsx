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"/>
    </mc:Choice>
  </mc:AlternateContent>
  <xr:revisionPtr revIDLastSave="0" documentId="13_ncr:1_{77C2AB3E-5758-410D-AB70-5FB6F21978D6}" xr6:coauthVersionLast="47" xr6:coauthVersionMax="47" xr10:uidLastSave="{00000000-0000-0000-0000-000000000000}"/>
  <bookViews>
    <workbookView xWindow="28680" yWindow="-120" windowWidth="51840" windowHeight="21120" xr2:uid="{00000000-000D-0000-FFFF-FFFF00000000}"/>
  </bookViews>
  <sheets>
    <sheet name="Combined Results" sheetId="1" r:id="rId1"/>
  </sheets>
  <calcPr calcId="191029"/>
</workbook>
</file>

<file path=xl/calcChain.xml><?xml version="1.0" encoding="utf-8"?>
<calcChain xmlns="http://schemas.openxmlformats.org/spreadsheetml/2006/main">
  <c r="U198" i="1" l="1"/>
  <c r="S340" i="1" a="1"/>
  <c r="S340" i="1" s="1"/>
  <c r="V85" i="1"/>
  <c r="T85" i="1" a="1"/>
  <c r="T85" i="1" s="1"/>
  <c r="S85" i="1" a="1"/>
  <c r="S85" i="1" s="1"/>
  <c r="O85" i="1" a="1"/>
  <c r="O85" i="1" s="1"/>
  <c r="V47" i="1"/>
  <c r="T47" i="1" a="1"/>
  <c r="T47" i="1"/>
  <c r="S47" i="1" a="1"/>
  <c r="S47" i="1"/>
  <c r="O47" i="1" a="1"/>
  <c r="O47" i="1" s="1"/>
  <c r="T358" i="1" a="1"/>
  <c r="T358" i="1"/>
  <c r="S358" i="1" a="1"/>
  <c r="S358" i="1" s="1"/>
  <c r="P358" i="1" a="1"/>
  <c r="P358" i="1"/>
  <c r="V358" i="1"/>
  <c r="T352" i="1" a="1"/>
  <c r="T352" i="1"/>
  <c r="S352" i="1" a="1"/>
  <c r="S352" i="1" s="1"/>
  <c r="O352" i="1" a="1"/>
  <c r="O352" i="1" s="1"/>
  <c r="V352" i="1"/>
  <c r="T346" i="1" a="1"/>
  <c r="T346" i="1"/>
  <c r="S346" i="1" a="1"/>
  <c r="S346" i="1"/>
  <c r="O346" i="1" a="1"/>
  <c r="O346" i="1" s="1"/>
  <c r="V346" i="1"/>
  <c r="T340" i="1" a="1"/>
  <c r="T340" i="1"/>
  <c r="O340" i="1" a="1"/>
  <c r="O340" i="1" s="1"/>
  <c r="V340" i="1"/>
  <c r="V334" i="1"/>
  <c r="T334" i="1" a="1"/>
  <c r="T334" i="1"/>
  <c r="S334" i="1" a="1"/>
  <c r="S334" i="1" s="1"/>
  <c r="O334" i="1" a="1"/>
  <c r="O334" i="1" s="1"/>
  <c r="V283" i="1"/>
  <c r="U283" i="1"/>
  <c r="V262" i="1"/>
  <c r="T262" i="1" a="1"/>
  <c r="T262" i="1" s="1"/>
  <c r="S262" i="1" a="1"/>
  <c r="S262" i="1"/>
  <c r="O262" i="1" a="1"/>
  <c r="O262" i="1" s="1"/>
  <c r="T251" i="1" a="1"/>
  <c r="T251" i="1"/>
  <c r="S251" i="1" a="1"/>
  <c r="S251" i="1" s="1"/>
  <c r="P251" i="1" a="1"/>
  <c r="P251" i="1" s="1"/>
  <c r="V251" i="1"/>
  <c r="V240" i="1"/>
  <c r="T240" i="1" a="1"/>
  <c r="T240" i="1"/>
  <c r="S240" i="1" a="1"/>
  <c r="S240" i="1" s="1"/>
  <c r="O240" i="1" a="1"/>
  <c r="O240" i="1" s="1"/>
  <c r="V219" i="1"/>
  <c r="U219" i="1"/>
  <c r="V198" i="1"/>
  <c r="V177" i="1"/>
  <c r="U177" i="1"/>
  <c r="V156" i="1"/>
  <c r="U156" i="1"/>
  <c r="U135" i="1"/>
  <c r="V135" i="1"/>
  <c r="V114" i="1"/>
  <c r="U114" i="1"/>
  <c r="G346" i="1" a="1"/>
  <c r="G346" i="1" s="1"/>
  <c r="G334" i="1" a="1"/>
  <c r="G334" i="1" s="1"/>
  <c r="H340" i="1" a="1"/>
  <c r="H340" i="1" s="1"/>
  <c r="J240" i="1"/>
  <c r="N240" i="1"/>
  <c r="G358" i="1" a="1"/>
  <c r="G358" i="1" s="1"/>
  <c r="H358" i="1" a="1"/>
  <c r="H358" i="1" s="1"/>
  <c r="K358" i="1" a="1"/>
  <c r="K358" i="1" s="1"/>
  <c r="L358" i="1" a="1"/>
  <c r="L358" i="1" s="1"/>
  <c r="J358" i="1"/>
  <c r="N358" i="1"/>
  <c r="P352" i="1" a="1"/>
  <c r="P352" i="1" s="1"/>
  <c r="R358" i="1"/>
  <c r="G352" i="1" a="1"/>
  <c r="G352" i="1" s="1"/>
  <c r="H352" i="1" a="1"/>
  <c r="H352" i="1" s="1"/>
  <c r="K352" i="1" a="1"/>
  <c r="K352" i="1" s="1"/>
  <c r="L352" i="1" a="1"/>
  <c r="L352" i="1" s="1"/>
  <c r="J352" i="1"/>
  <c r="N352" i="1"/>
  <c r="P346" i="1" a="1"/>
  <c r="P346" i="1" s="1"/>
  <c r="R352" i="1"/>
  <c r="H346" i="1" a="1"/>
  <c r="H346" i="1" s="1"/>
  <c r="K346" i="1" a="1"/>
  <c r="K346" i="1" s="1"/>
  <c r="L346" i="1" a="1"/>
  <c r="L346" i="1" s="1"/>
  <c r="P340" i="1" a="1"/>
  <c r="P340" i="1" s="1"/>
  <c r="J346" i="1"/>
  <c r="N346" i="1"/>
  <c r="R346" i="1"/>
  <c r="G340" i="1" a="1"/>
  <c r="G340" i="1"/>
  <c r="K340" i="1" a="1"/>
  <c r="K340" i="1" s="1"/>
  <c r="L340" i="1" a="1"/>
  <c r="L340" i="1" s="1"/>
  <c r="P334" i="1" a="1"/>
  <c r="P334" i="1" s="1"/>
  <c r="J340" i="1"/>
  <c r="N340" i="1"/>
  <c r="R340" i="1"/>
  <c r="L334" i="1" a="1"/>
  <c r="L334" i="1" s="1"/>
  <c r="K334" i="1" a="1"/>
  <c r="K334" i="1" s="1"/>
  <c r="H334" i="1" a="1"/>
  <c r="H334" i="1" s="1"/>
  <c r="H262" i="1" a="1"/>
  <c r="H262" i="1" s="1"/>
  <c r="J334" i="1"/>
  <c r="N334" i="1"/>
  <c r="R334" i="1"/>
  <c r="I283" i="1"/>
  <c r="J283" i="1"/>
  <c r="M283" i="1"/>
  <c r="N283" i="1"/>
  <c r="Q283" i="1"/>
  <c r="R283" i="1"/>
  <c r="G262" i="1" a="1"/>
  <c r="G262" i="1" s="1"/>
  <c r="K262" i="1" a="1"/>
  <c r="K262" i="1" s="1"/>
  <c r="L262" i="1" a="1"/>
  <c r="L262" i="1" s="1"/>
  <c r="P262" i="1" a="1"/>
  <c r="P262" i="1" s="1"/>
  <c r="J262" i="1"/>
  <c r="N262" i="1"/>
  <c r="R262" i="1"/>
  <c r="G251" i="1" a="1"/>
  <c r="G251" i="1"/>
  <c r="H251" i="1" a="1"/>
  <c r="H251" i="1"/>
  <c r="K251" i="1" a="1"/>
  <c r="K251" i="1" s="1"/>
  <c r="L251" i="1" a="1"/>
  <c r="L251" i="1" s="1"/>
  <c r="O251" i="1" a="1"/>
  <c r="O251" i="1" s="1"/>
  <c r="P240" i="1" a="1"/>
  <c r="P240" i="1" s="1"/>
  <c r="J251" i="1"/>
  <c r="N251" i="1"/>
  <c r="R251" i="1"/>
  <c r="G240" i="1" a="1"/>
  <c r="G240" i="1" s="1"/>
  <c r="H240" i="1" a="1"/>
  <c r="H240" i="1" s="1"/>
  <c r="K240" i="1" a="1"/>
  <c r="K240" i="1" s="1"/>
  <c r="L240" i="1" a="1"/>
  <c r="L240" i="1" s="1"/>
  <c r="H198" i="1" a="1"/>
  <c r="H198" i="1" s="1"/>
  <c r="R240" i="1"/>
  <c r="I219" i="1"/>
  <c r="J219" i="1"/>
  <c r="M219" i="1"/>
  <c r="N219" i="1"/>
  <c r="Q219" i="1"/>
  <c r="R219" i="1"/>
  <c r="H85" i="1" a="1"/>
  <c r="H85" i="1" s="1"/>
  <c r="J198" i="1"/>
  <c r="M198" i="1"/>
  <c r="N198" i="1"/>
  <c r="Q198" i="1"/>
  <c r="R198" i="1"/>
  <c r="I177" i="1"/>
  <c r="J177" i="1"/>
  <c r="M177" i="1"/>
  <c r="N177" i="1"/>
  <c r="Q177" i="1"/>
  <c r="R177" i="1"/>
  <c r="I156" i="1"/>
  <c r="J156" i="1"/>
  <c r="M156" i="1"/>
  <c r="N156" i="1"/>
  <c r="Q156" i="1"/>
  <c r="R156" i="1"/>
  <c r="Q135" i="1"/>
  <c r="R135" i="1"/>
  <c r="M135" i="1"/>
  <c r="N135" i="1"/>
  <c r="I135" i="1"/>
  <c r="J135" i="1"/>
  <c r="Q114" i="1"/>
  <c r="M114" i="1"/>
  <c r="I114" i="1"/>
  <c r="R114" i="1"/>
  <c r="N114" i="1"/>
  <c r="J114" i="1"/>
  <c r="N85" i="1"/>
  <c r="R85" i="1"/>
  <c r="P85" i="1" a="1"/>
  <c r="P85" i="1" s="1"/>
  <c r="L85" i="1" a="1"/>
  <c r="L85" i="1" s="1"/>
  <c r="K85" i="1" a="1"/>
  <c r="K85" i="1" s="1"/>
  <c r="J85" i="1"/>
  <c r="G85" i="1" a="1"/>
  <c r="G85" i="1" s="1"/>
  <c r="R47" i="1"/>
  <c r="N47" i="1"/>
  <c r="J47" i="1"/>
  <c r="P47" i="1" a="1"/>
  <c r="P47" i="1" s="1"/>
  <c r="L47" i="1" a="1"/>
  <c r="L47" i="1" s="1"/>
  <c r="K47" i="1" a="1"/>
  <c r="K47" i="1" s="1"/>
  <c r="H47" i="1" a="1"/>
  <c r="H47" i="1" s="1"/>
  <c r="G47" i="1" a="1"/>
  <c r="G47" i="1" s="1"/>
</calcChain>
</file>

<file path=xl/sharedStrings.xml><?xml version="1.0" encoding="utf-8"?>
<sst xmlns="http://schemas.openxmlformats.org/spreadsheetml/2006/main" count="1039" uniqueCount="394">
  <si>
    <t>dataset</t>
  </si>
  <si>
    <t>instance</t>
  </si>
  <si>
    <t>n</t>
  </si>
  <si>
    <t>k</t>
  </si>
  <si>
    <t>density</t>
  </si>
  <si>
    <t>best-known obj</t>
  </si>
  <si>
    <t>best found obj (1 core)</t>
  </si>
  <si>
    <t>Avg. obj (1 core)</t>
  </si>
  <si>
    <t>Avg.TTS (1 core)</t>
  </si>
  <si>
    <t>#Succ (1 core)</t>
  </si>
  <si>
    <t>best found obj (8 cores)</t>
  </si>
  <si>
    <t>Avg. obj (8 cores)</t>
  </si>
  <si>
    <t>Avg.TTS (8 cores)</t>
  </si>
  <si>
    <t>#Succ (8 cores)</t>
  </si>
  <si>
    <t>best found obj (16 cores)</t>
  </si>
  <si>
    <t>Avg. obj (16 cores)</t>
  </si>
  <si>
    <t>Avg.TTS (16 cores)</t>
  </si>
  <si>
    <t>#Succ (16 cores)</t>
  </si>
  <si>
    <t>GBP</t>
  </si>
  <si>
    <t>4elt.graph.qsc</t>
  </si>
  <si>
    <t>bcsstk29.graph.qsc</t>
  </si>
  <si>
    <t>bcsstk33.graph.qsc</t>
  </si>
  <si>
    <t>crack.graph.qsc</t>
  </si>
  <si>
    <t>cti.graph.qsc</t>
  </si>
  <si>
    <t>fe_4elt2.graph.qsc</t>
  </si>
  <si>
    <t>unknown</t>
  </si>
  <si>
    <t>fe_sphere.graph.qsc</t>
  </si>
  <si>
    <t>whitaker3.graph.qsc</t>
  </si>
  <si>
    <t>MCP/BHOSLIB</t>
  </si>
  <si>
    <t>frb30-15-1.qsc</t>
  </si>
  <si>
    <t>frb30-15-2.qsc</t>
  </si>
  <si>
    <t>frb30-15-3.qsc</t>
  </si>
  <si>
    <t>frb30-15-4.qsc</t>
  </si>
  <si>
    <t>frb30-15-5.qsc</t>
  </si>
  <si>
    <t>frb35-17-1.qsc</t>
  </si>
  <si>
    <t>frb35-17-2.qsc</t>
  </si>
  <si>
    <t>frb35-17-3.qsc</t>
  </si>
  <si>
    <t>frb35-17-4.qsc</t>
  </si>
  <si>
    <t>frb35-17-5.qsc</t>
  </si>
  <si>
    <t>frb40-19-1.qsc</t>
  </si>
  <si>
    <t>frb40-19-2.qsc</t>
  </si>
  <si>
    <t>frb40-19-3.qsc</t>
  </si>
  <si>
    <t>frb40-19-4.qsc</t>
  </si>
  <si>
    <t>frb40-19-5.qsc</t>
  </si>
  <si>
    <t>frb45-21-1.qsc</t>
  </si>
  <si>
    <t>frb45-21-2.qsc</t>
  </si>
  <si>
    <t>frb45-21-3.qsc</t>
  </si>
  <si>
    <t>frb45-21-4.qsc</t>
  </si>
  <si>
    <t>frb45-21-5.qsc</t>
  </si>
  <si>
    <t>frb50-23-1.qsc</t>
  </si>
  <si>
    <t>frb50-23-2.qsc</t>
  </si>
  <si>
    <t>frb50-23-3.qsc</t>
  </si>
  <si>
    <t>frb50-23-4.qsc</t>
  </si>
  <si>
    <t>frb50-23-5.qsc</t>
  </si>
  <si>
    <t>frb53-24-1.qsc</t>
  </si>
  <si>
    <t>frb53-24-2.qsc</t>
  </si>
  <si>
    <t>frb53-24-3.qsc</t>
  </si>
  <si>
    <t>frb53-24-4.qsc</t>
  </si>
  <si>
    <t>frb53-24-5.qsc</t>
  </si>
  <si>
    <t>frb59-26-1.qsc</t>
  </si>
  <si>
    <t>frb59-26-2.qsc</t>
  </si>
  <si>
    <t>frb59-26-3.qsc</t>
  </si>
  <si>
    <t>frb59-26-4.qsc</t>
  </si>
  <si>
    <t>frb59-26-5.qsc</t>
  </si>
  <si>
    <t>frb100-40.qsc</t>
  </si>
  <si>
    <t>MCP/DIMACS</t>
  </si>
  <si>
    <t>brock200_2_m12.qsc</t>
  </si>
  <si>
    <t>brock200_4_m17.qsc</t>
  </si>
  <si>
    <t>brock400_2_m29.qsc</t>
  </si>
  <si>
    <t>brock400_4_m33.qsc</t>
  </si>
  <si>
    <t>brock800_2_m24.qsc</t>
  </si>
  <si>
    <t>brock800_4_m26.qsc</t>
  </si>
  <si>
    <t>C125.9_m34.qsc</t>
  </si>
  <si>
    <t>C250.9_m44.qsc</t>
  </si>
  <si>
    <t>C500.9_m57.qsc</t>
  </si>
  <si>
    <t>C1000.9_m68.qsc</t>
  </si>
  <si>
    <t>C2000.5_m16.qsc</t>
  </si>
  <si>
    <t>C2000.9_m80.qsc</t>
  </si>
  <si>
    <t>C4000.5_m18.qsc</t>
  </si>
  <si>
    <t>DSJC500_5_m13.qsc</t>
  </si>
  <si>
    <t>DSJC1000_5_m15.qsc</t>
  </si>
  <si>
    <t>gen200_p0.9_44_m44.qsc</t>
  </si>
  <si>
    <t>gen200_p0.9_55_m55.qsc</t>
  </si>
  <si>
    <t>gen400_p0.9_55_m55.qsc</t>
  </si>
  <si>
    <t>gen400_p0.9_65_m65.qsc</t>
  </si>
  <si>
    <t>gen400_p0.9_75_m75.qsc</t>
  </si>
  <si>
    <t>hamming8-4_m16.qsc</t>
  </si>
  <si>
    <t>hamming10-4_m40.qsc</t>
  </si>
  <si>
    <t>keller4_m11.qsc</t>
  </si>
  <si>
    <t>keller5_m27.qsc</t>
  </si>
  <si>
    <t>keller6_m59.qsc</t>
  </si>
  <si>
    <t>MANN_a27_m126.qsc</t>
  </si>
  <si>
    <t>MANN_a45_m345.qsc</t>
  </si>
  <si>
    <t>MANN_a81_m1100.qsc</t>
  </si>
  <si>
    <t>p_hat300-1_m8.qsc</t>
  </si>
  <si>
    <t>p_hat300-2_m25.qsc</t>
  </si>
  <si>
    <t>p_hat300-3_m36.qsc</t>
  </si>
  <si>
    <t>p_hat700-1_m11.qsc</t>
  </si>
  <si>
    <t>p_hat700-2_m44.qsc</t>
  </si>
  <si>
    <t>p_hat700-3_m62.qsc</t>
  </si>
  <si>
    <t>p_hat1500-1_m12.qsc</t>
  </si>
  <si>
    <t>p_hat1500-2_m65.qsc</t>
  </si>
  <si>
    <t>p_hat1500-3_m94.qsc</t>
  </si>
  <si>
    <t>MCP/set_1</t>
  </si>
  <si>
    <t>ca-AstroPh_n18772_m57.qsc</t>
  </si>
  <si>
    <t>ca-CondMat_n23133_m26.qsc</t>
  </si>
  <si>
    <t>ca-GrQc_n5241_m44.qsc</t>
  </si>
  <si>
    <t>ca-HepPh_n12006_m239.qsc</t>
  </si>
  <si>
    <t>ca-HepTh_n9875_m32.qsc</t>
  </si>
  <si>
    <t>email_n1133_m12.qsc</t>
  </si>
  <si>
    <t>jazz_n198_m30.qsc</t>
  </si>
  <si>
    <t>MDP/GKD-c</t>
  </si>
  <si>
    <t>GKD-c_1_n500_m50.txt</t>
  </si>
  <si>
    <t>GKD-c_2_n500_m50.txt</t>
  </si>
  <si>
    <t>GKD-c_3_n500_m50.txt</t>
  </si>
  <si>
    <t>GKD-c_4_n500_m50.txt</t>
  </si>
  <si>
    <t>GKD-c_5_n500_m50.txt</t>
  </si>
  <si>
    <t>GKD-c_6_n500_m50.txt</t>
  </si>
  <si>
    <t>GKD-c_7_n500_m50.txt</t>
  </si>
  <si>
    <t>GKD-c_8_n500_m50.txt</t>
  </si>
  <si>
    <t>GKD-c_9_n500_m50.txt</t>
  </si>
  <si>
    <t>GKD-c_10_n500_m50.txt</t>
  </si>
  <si>
    <t>GKD-c_11_n500_m50.txt</t>
  </si>
  <si>
    <t>GKD-c_12_n500_m50.txt</t>
  </si>
  <si>
    <t>GKD-c_13_n500_m50.txt</t>
  </si>
  <si>
    <t>GKD-c_14_n500_m50.txt</t>
  </si>
  <si>
    <t>GKD-c_15_n500_m50.txt</t>
  </si>
  <si>
    <t>GKD-c_16_n500_m50.txt</t>
  </si>
  <si>
    <t>GKD-c_17_n500_m50.txt</t>
  </si>
  <si>
    <t>GKD-c_18_n500_m50.txt</t>
  </si>
  <si>
    <t>GKD-c_19_n500_m50.txt</t>
  </si>
  <si>
    <t>GKD-c_20_n500_m50.txt</t>
  </si>
  <si>
    <t>MDP/LA</t>
  </si>
  <si>
    <t>LA_n2000_m100.qsc</t>
  </si>
  <si>
    <t>LA_n2000_m200.qsc</t>
  </si>
  <si>
    <t>LA_n2000_m300.qsc</t>
  </si>
  <si>
    <t>LA_n2000_m400.qsc</t>
  </si>
  <si>
    <t>LA_n2000_m500.qsc</t>
  </si>
  <si>
    <t>LA_n3000_m100.qsc</t>
  </si>
  <si>
    <t>LA_n3000_m200.qsc</t>
  </si>
  <si>
    <t>LA_n3000_m300.qsc</t>
  </si>
  <si>
    <t>LA_n3000_m400.qsc</t>
  </si>
  <si>
    <t>LA_n3000_m500.qsc</t>
  </si>
  <si>
    <t>LA_n5000_m100.qsc</t>
  </si>
  <si>
    <t>LA_n5000_m200.qsc</t>
  </si>
  <si>
    <t>LA_n5000_m300.qsc</t>
  </si>
  <si>
    <t>LA_n5000_m400.qsc</t>
  </si>
  <si>
    <t>LA_n5000_m500.qsc</t>
  </si>
  <si>
    <t>LA_n6000_m100.qsc</t>
  </si>
  <si>
    <t>LA_n6000_m200.qsc</t>
  </si>
  <si>
    <t>LA_n6000_m300.qsc</t>
  </si>
  <si>
    <t>LA_n6000_m400.qsc</t>
  </si>
  <si>
    <t>LA_n6000_m500.qsc</t>
  </si>
  <si>
    <t>MDP/MDG-a_n2000</t>
  </si>
  <si>
    <t>MDG-a_21_n2000_m200.txt</t>
  </si>
  <si>
    <t>MDG-a_22_n2000_m200.txt</t>
  </si>
  <si>
    <t>MDG-a_23_n2000_m200.txt</t>
  </si>
  <si>
    <t>MDG-a_24_n2000_m200.txt</t>
  </si>
  <si>
    <t>MDG-a_25_n2000_m200.txt</t>
  </si>
  <si>
    <t>MDG-a_26_n2000_m200.txt</t>
  </si>
  <si>
    <t>MDG-a_27_n2000_m200.txt</t>
  </si>
  <si>
    <t>MDG-a_28_n2000_m200.txt</t>
  </si>
  <si>
    <t>MDG-a_29_n2000_m200.txt</t>
  </si>
  <si>
    <t>MDG-a_30_n2000_m200.txt</t>
  </si>
  <si>
    <t>MDG-a_31_n2000_m200.txt</t>
  </si>
  <si>
    <t>MDG-a_32_n2000_m200.txt</t>
  </si>
  <si>
    <t>MDG-a_33_n2000_m200.txt</t>
  </si>
  <si>
    <t>MDG-a_34_n2000_m200.txt</t>
  </si>
  <si>
    <t>MDG-a_35_n2000_m200.txt</t>
  </si>
  <si>
    <t>MDG-a_36_n2000_m200.txt</t>
  </si>
  <si>
    <t>MDG-a_37_n2000_m200.txt</t>
  </si>
  <si>
    <t>MDG-a_38_n2000_m200.txt</t>
  </si>
  <si>
    <t>MDG-a_39_n2000_m200.txt</t>
  </si>
  <si>
    <t>MDG-a_40_n2000_m200.txt</t>
  </si>
  <si>
    <t>MDP/MDG-a_n500</t>
  </si>
  <si>
    <t>MDG-a_1_n500_m50.txt</t>
  </si>
  <si>
    <t>MDG-a_2_n500_m50.txt</t>
  </si>
  <si>
    <t>MDG-a_3_n500_m50.txt</t>
  </si>
  <si>
    <t>MDG-a_4_n500_m50.txt</t>
  </si>
  <si>
    <t>MDG-a_5_n500_m50.txt</t>
  </si>
  <si>
    <t>MDG-a_6_n500_m50.txt</t>
  </si>
  <si>
    <t>MDG-a_7_n500_m50.txt</t>
  </si>
  <si>
    <t>MDG-a_8_n500_m50.txt</t>
  </si>
  <si>
    <t>MDG-a_9_n500_m50.txt</t>
  </si>
  <si>
    <t>MDG-a_10_n500_m50.txt</t>
  </si>
  <si>
    <t>MDG-a_11_n500_m50.txt</t>
  </si>
  <si>
    <t>MDG-a_12_n500_m50.txt</t>
  </si>
  <si>
    <t>MDG-a_13_n500_m50.txt</t>
  </si>
  <si>
    <t>MDG-a_14_n500_m50.txt</t>
  </si>
  <si>
    <t>MDG-a_15_n500_m50.txt</t>
  </si>
  <si>
    <t>MDG-a_16_n500_m50.txt</t>
  </si>
  <si>
    <t>MDG-a_17_n500_m50.txt</t>
  </si>
  <si>
    <t>MDG-a_18_n500_m50.txt</t>
  </si>
  <si>
    <t>MDG-a_19_n500_m50.txt</t>
  </si>
  <si>
    <t>MDG-a_20_n500_m50.txt</t>
  </si>
  <si>
    <t>MDP/MDG-b_n2000</t>
  </si>
  <si>
    <t>MDG-b_21_n2000_m200.txt</t>
  </si>
  <si>
    <t>MDG-b_22_n2000_m200.txt</t>
  </si>
  <si>
    <t>MDG-b_23_n2000_m200.txt</t>
  </si>
  <si>
    <t>MDG-b_24_n2000_m200.txt</t>
  </si>
  <si>
    <t>MDG-b_25_n2000_m200.txt</t>
  </si>
  <si>
    <t>MDG-b_26_n2000_m200.txt</t>
  </si>
  <si>
    <t>MDG-b_27_n2000_m200.txt</t>
  </si>
  <si>
    <t>MDG-b_28_n2000_m200.txt</t>
  </si>
  <si>
    <t>MDG-b_29_n2000_m200.txt</t>
  </si>
  <si>
    <t>MDG-b_30_n2000_m200.txt</t>
  </si>
  <si>
    <t>MDG-b_31_n2000_m200.txt</t>
  </si>
  <si>
    <t>MDG-b_32_n2000_m200.txt</t>
  </si>
  <si>
    <t>MDG-b_33_n2000_m200.txt</t>
  </si>
  <si>
    <t>MDG-b_34_n2000_m200.txt</t>
  </si>
  <si>
    <t>MDG-b_35_n2000_m200.txt</t>
  </si>
  <si>
    <t>MDG-b_36_n2000_m200.txt</t>
  </si>
  <si>
    <t>MDG-b_37_n2000_m200.txt</t>
  </si>
  <si>
    <t>MDG-b_38_n2000_m200.txt</t>
  </si>
  <si>
    <t>MDG-b_39_n2000_m200.txt</t>
  </si>
  <si>
    <t>MDG-b_40_n2000_m200.txt</t>
  </si>
  <si>
    <t>MDP/MDG-b_n500</t>
  </si>
  <si>
    <t>MDG-b_1_n500_m50.txt</t>
  </si>
  <si>
    <t>MDG-b_2_n500_m50.txt</t>
  </si>
  <si>
    <t>MDG-b_3_n500_m50.txt</t>
  </si>
  <si>
    <t>MDG-b_4_n500_m50.txt</t>
  </si>
  <si>
    <t>MDG-b_5_n500_m50.txt</t>
  </si>
  <si>
    <t>MDG-b_6_n500_m50.txt</t>
  </si>
  <si>
    <t>MDG-b_7_n500_m50.txt</t>
  </si>
  <si>
    <t>MDG-b_8_n500_m50.txt</t>
  </si>
  <si>
    <t>MDG-b_9_n500_m50.txt</t>
  </si>
  <si>
    <t>MDG-b_10_n500_m50.txt</t>
  </si>
  <si>
    <t>MDG-b_11_n500_m50.txt</t>
  </si>
  <si>
    <t>MDG-b_12_n500_m50.txt</t>
  </si>
  <si>
    <t>MDG-b_13_n500_m50.txt</t>
  </si>
  <si>
    <t>MDG-b_14_n500_m50.txt</t>
  </si>
  <si>
    <t>MDG-b_15_n500_m50.txt</t>
  </si>
  <si>
    <t>MDG-b_16_n500_m50.txt</t>
  </si>
  <si>
    <t>MDG-b_17_n500_m50.txt</t>
  </si>
  <si>
    <t>MDG-b_18_n500_m50.txt</t>
  </si>
  <si>
    <t>MDG-b_19_n500_m50.txt</t>
  </si>
  <si>
    <t>MDG-b_20_n500_m50.txt</t>
  </si>
  <si>
    <t>MDP/MDG-c</t>
  </si>
  <si>
    <t>MDG-c_1_n3000_m300.txt</t>
  </si>
  <si>
    <t>MDG-c_2_n3000_m300.txt</t>
  </si>
  <si>
    <t>MDG-c_3_n3000_m300.txt</t>
  </si>
  <si>
    <t>MDG-c_4_n3000_m300.txt</t>
  </si>
  <si>
    <t>MDG-c_5_n3000_m300.txt</t>
  </si>
  <si>
    <t>MDG-c_6_n3000_m400.txt</t>
  </si>
  <si>
    <t>MDG-c_7_n3000_m400.txt</t>
  </si>
  <si>
    <t>MDG-c_8_n3000_m400.txt</t>
  </si>
  <si>
    <t>MDG-c_9_n3000_m400.txt</t>
  </si>
  <si>
    <t>MDG-c_10_n3000_m400.txt</t>
  </si>
  <si>
    <t>MDG-c_11_n3000_m500.txt</t>
  </si>
  <si>
    <t>MDG-c_12_n3000_m500.txt</t>
  </si>
  <si>
    <t>MDG-c_13_n3000_m500.txt</t>
  </si>
  <si>
    <t>MDG-c_14_n3000_m500.txt</t>
  </si>
  <si>
    <t>MDG-c_15_n3000_m500.txt</t>
  </si>
  <si>
    <t>MDG-c_16_n3000_m600.txt</t>
  </si>
  <si>
    <t>MDG-c_17_n3000_m600.txt</t>
  </si>
  <si>
    <t>MDG-c_18_n3000_m600.txt</t>
  </si>
  <si>
    <t>MDG-c_19_n3000_m600.txt</t>
  </si>
  <si>
    <t>MDG-c_20_n3000_m600.txt</t>
  </si>
  <si>
    <t>p3000_1.qsc</t>
  </si>
  <si>
    <t>p3000_2.qsc</t>
  </si>
  <si>
    <t>p3000_3.qsc</t>
  </si>
  <si>
    <t>p3000_4.qsc</t>
  </si>
  <si>
    <t>p3000_5.qsc</t>
  </si>
  <si>
    <t>p5000_1.qsc</t>
  </si>
  <si>
    <t>p5000_2.qsc</t>
  </si>
  <si>
    <t>p5000_3.qsc</t>
  </si>
  <si>
    <t>p5000_4.qsc</t>
  </si>
  <si>
    <t>p5000_5.qsc</t>
  </si>
  <si>
    <t>MDP/SOM-b</t>
  </si>
  <si>
    <t>SOM-b_1_n100_m10.txt</t>
  </si>
  <si>
    <t>SOM-b_2_n100_m20.txt</t>
  </si>
  <si>
    <t>SOM-b_3_n100_m30.txt</t>
  </si>
  <si>
    <t>SOM-b_4_n100_m40.txt</t>
  </si>
  <si>
    <t>SOM-b_5_n200_m20.txt</t>
  </si>
  <si>
    <t>SOM-b_6_n200_m40.txt</t>
  </si>
  <si>
    <t>SOM-b_7_n200_m60.txt</t>
  </si>
  <si>
    <t>SOM-b_8_n200_m80.txt</t>
  </si>
  <si>
    <t>SOM-b_9_n300_m30.txt</t>
  </si>
  <si>
    <t>SOM-b_10_n300_m60.txt</t>
  </si>
  <si>
    <t>SOM-b_11_n300_m90.txt</t>
  </si>
  <si>
    <t>SOM-b_12_n300_m120.txt</t>
  </si>
  <si>
    <t>SOM-b_13_n400_m40.txt</t>
  </si>
  <si>
    <t>SOM-b_14_n400_m80.txt</t>
  </si>
  <si>
    <t>SOM-b_15_n400_m120.txt</t>
  </si>
  <si>
    <t>SOM-b_16_n400_m160.txt</t>
  </si>
  <si>
    <t>SOM-b_17_n500_m50.txt</t>
  </si>
  <si>
    <t>SOM-b_18_n500_m100.txt</t>
  </si>
  <si>
    <t>SOM-b_19_n500_m150.txt</t>
  </si>
  <si>
    <t>SOM-b_20_n500_m200.txt</t>
  </si>
  <si>
    <t>MDP/SyntheticTF</t>
  </si>
  <si>
    <t>synthetic_1_n7000_m100.qsc</t>
  </si>
  <si>
    <t>synthetic_1_n7000_m200.qsc</t>
  </si>
  <si>
    <t>synthetic_1_n7000_m300.qsc</t>
  </si>
  <si>
    <t>synthetic_1_n7000_m400.qsc</t>
  </si>
  <si>
    <t>synthetic_1_n7000_m500.qsc</t>
  </si>
  <si>
    <t>synthetic_2_n7000_m100.qsc</t>
  </si>
  <si>
    <t>synthetic_2_n7000_m200.qsc</t>
  </si>
  <si>
    <t>synthetic_2_n7000_m300.qsc</t>
  </si>
  <si>
    <t>synthetic_2_n7000_m400.qsc</t>
  </si>
  <si>
    <t>synthetic_2_n7000_m500.qsc</t>
  </si>
  <si>
    <t>synthetic_3_n7000_m100.qsc</t>
  </si>
  <si>
    <t>synthetic_3_n7000_m200.qsc</t>
  </si>
  <si>
    <t>synthetic_3_n7000_m300.qsc</t>
  </si>
  <si>
    <t>synthetic_3_n7000_m400.qsc</t>
  </si>
  <si>
    <t>synthetic_3_n7000_m500.qsc</t>
  </si>
  <si>
    <t>synthetic_4_n7000_m100.qsc</t>
  </si>
  <si>
    <t>synthetic_4_n7000_m200.qsc</t>
  </si>
  <si>
    <t>synthetic_4_n7000_m300.qsc</t>
  </si>
  <si>
    <t>synthetic_4_n7000_m400.qsc</t>
  </si>
  <si>
    <t>synthetic_4_n7000_m500.qsc</t>
  </si>
  <si>
    <t>synthetic_5_n7000_m100.qsc</t>
  </si>
  <si>
    <t>synthetic_5_n7000_m200.qsc</t>
  </si>
  <si>
    <t>synthetic_5_n7000_m300.qsc</t>
  </si>
  <si>
    <t>synthetic_5_n7000_m400.qsc</t>
  </si>
  <si>
    <t>synthetic_5_n7000_m500.qsc</t>
  </si>
  <si>
    <t>synthetic_6_n7000_m100.qsc</t>
  </si>
  <si>
    <t>synthetic_6_n7000_m200.qsc</t>
  </si>
  <si>
    <t>synthetic_6_n7000_m300.qsc</t>
  </si>
  <si>
    <t>synthetic_6_n7000_m400.qsc</t>
  </si>
  <si>
    <t>synthetic_6_n7000_m500.qsc</t>
  </si>
  <si>
    <t>synthetic_7_n7000_m100.qsc</t>
  </si>
  <si>
    <t>synthetic_7_n7000_m200.qsc</t>
  </si>
  <si>
    <t>synthetic_7_n7000_m300.qsc</t>
  </si>
  <si>
    <t>synthetic_7_n7000_m400.qsc</t>
  </si>
  <si>
    <t>synthetic_7_n7000_m500.qsc</t>
  </si>
  <si>
    <t>synthetic_8_n7000_m100.qsc</t>
  </si>
  <si>
    <t>synthetic_8_n7000_m200.qsc</t>
  </si>
  <si>
    <t>synthetic_8_n7000_m300.qsc</t>
  </si>
  <si>
    <t>synthetic_8_n7000_m400.qsc</t>
  </si>
  <si>
    <t>synthetic_8_n7000_m500.qsc</t>
  </si>
  <si>
    <t>synthetic_9_n7000_m100.qsc</t>
  </si>
  <si>
    <t>synthetic_9_n7000_m200.qsc</t>
  </si>
  <si>
    <t>synthetic_9_n7000_m300.qsc</t>
  </si>
  <si>
    <t>synthetic_9_n7000_m400.qsc</t>
  </si>
  <si>
    <t>synthetic_9_n7000_m500.qsc</t>
  </si>
  <si>
    <t>synthetic_10_n7000_m100.qsc</t>
  </si>
  <si>
    <t>synthetic_10_n7000_m200.qsc</t>
  </si>
  <si>
    <t>synthetic_10_n7000_m300.qsc</t>
  </si>
  <si>
    <t>synthetic_10_n7000_m400.qsc</t>
  </si>
  <si>
    <t>synthetic_10_n7000_m500.qsc</t>
  </si>
  <si>
    <t>MDP/Team_formation</t>
  </si>
  <si>
    <t>Bibsonomy_n9269_m100.qsc</t>
  </si>
  <si>
    <t>Bibsonomy_n9269_m200.qsc</t>
  </si>
  <si>
    <t>Bibsonomy_n9269_m300.qsc</t>
  </si>
  <si>
    <t>Bibsonomy_n9269_m400.qsc</t>
  </si>
  <si>
    <t>Bibsonomy_n9269_m500.qsc</t>
  </si>
  <si>
    <t>DBLP_n7159_m100.qsc</t>
  </si>
  <si>
    <t>DBLP_n7159_m200.qsc</t>
  </si>
  <si>
    <t>DBLP_n7159_m300.qsc</t>
  </si>
  <si>
    <t>DBLP_n7159_m400.qsc</t>
  </si>
  <si>
    <t>DBLP_n7159_m500.qsc</t>
  </si>
  <si>
    <t>IMDB_n1021_m100.qsc</t>
  </si>
  <si>
    <t>IMDB_n1021_m200.qsc</t>
  </si>
  <si>
    <t>IMDB_n1021_m300.qsc</t>
  </si>
  <si>
    <t>IMDB_n1021_m400.qsc</t>
  </si>
  <si>
    <t>IMDB_n1021_m500.qsc</t>
  </si>
  <si>
    <t>StackOverflow_n8834_m100.qsc</t>
  </si>
  <si>
    <t>StackOverflow_n8834_m200.qsc</t>
  </si>
  <si>
    <t>StackOverflow_n8834_m300.qsc</t>
  </si>
  <si>
    <t>StackOverflow_n8834_m400.qsc</t>
  </si>
  <si>
    <t>StackOverflow_n8834_m500.qsc</t>
  </si>
  <si>
    <t>Summary (MCP/BHOSLIB)</t>
  </si>
  <si>
    <t>Summary (MCP/DIMACS)</t>
  </si>
  <si>
    <t>Summary (MDP/GKD-c)</t>
  </si>
  <si>
    <t>Summary (MDP/LA)</t>
  </si>
  <si>
    <t>Summary (MDP/MDG-a_n2000)</t>
  </si>
  <si>
    <t>Summary (MDP/MDG-a_n500)</t>
  </si>
  <si>
    <t>Summary (MDP/MDG-b_n2000)</t>
  </si>
  <si>
    <t>Summary (MDP/MDG-b_n500)</t>
  </si>
  <si>
    <t>Summary (MDP/MDG-c)</t>
  </si>
  <si>
    <t>MDP/p3000-5000</t>
  </si>
  <si>
    <t>Summary (MDP/p3000-5000)</t>
  </si>
  <si>
    <t>b2500-1.qsc</t>
  </si>
  <si>
    <t>b2500-2.qsc</t>
  </si>
  <si>
    <t>b2500-3.qsc</t>
  </si>
  <si>
    <t>b2500-4.qsc</t>
  </si>
  <si>
    <t>b2500-5.qsc</t>
  </si>
  <si>
    <t>b2500-6.qsc</t>
  </si>
  <si>
    <t>b2500-7.qsc</t>
  </si>
  <si>
    <t>b2500-8.qsc</t>
  </si>
  <si>
    <t>b2500-9.qsc</t>
  </si>
  <si>
    <t>b2500-10.qsc</t>
  </si>
  <si>
    <t>MDP/b2500</t>
  </si>
  <si>
    <t>Summary (MDP/b2500)</t>
  </si>
  <si>
    <t>Summary (MDP/SOM-b)</t>
  </si>
  <si>
    <t>Summary (MDP/SyntheticTF)</t>
  </si>
  <si>
    <t>Summary (MDP/IMDB)</t>
  </si>
  <si>
    <t>Summary (MDP/DBLP)</t>
  </si>
  <si>
    <t>Summary (MDP/Bibsonomy)</t>
  </si>
  <si>
    <t>Summary (MDP/StackOverflow)</t>
  </si>
  <si>
    <t>Avg. TTS (OBMA)</t>
  </si>
  <si>
    <t>#Succ (OBMA)</t>
  </si>
  <si>
    <t>Avg. obj (OBMA)</t>
  </si>
  <si>
    <t>best found obj (OBMA)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</si>
</sst>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%"/>
    <numFmt numFmtId="165" formatCode="0.000"/>
    <numFmt numFmtId="166" formatCode="0.0"/>
    <numFmt numFmtId="167" formatCode="0.00000"/>
    <numFmt numFmtId="168" formatCode="0.000000"/>
    <numFmt numFmtId="169" formatCode="0.0000000"/>
    <numFmt numFmtId="170" formatCode="0;[Red]0"/>
  </numFmts>
  <fonts count="2" x14ac:knownFonts="1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70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165" fontId="0" fillId="2" borderId="0" xfId="0" applyNumberFormat="1" applyFill="1"/>
    <xf numFmtId="167" fontId="0" fillId="2" borderId="0" xfId="0" applyNumberFormat="1" applyFill="1"/>
    <xf numFmtId="168" fontId="0" fillId="2" borderId="0" xfId="0" applyNumberFormat="1" applyFill="1"/>
    <xf numFmtId="169" fontId="0" fillId="2" borderId="0" xfId="0" applyNumberFormat="1" applyFill="1"/>
    <xf numFmtId="17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58"/>
  <sheetViews>
    <sheetView tabSelected="1" workbookViewId="0">
      <pane ySplit="1" topLeftCell="A2" activePane="bottomLeft" state="frozen"/>
      <selection pane="bottomLeft" activeCell="R4" sqref="R4"/>
    </sheetView>
  </sheetViews>
  <sheetFormatPr defaultRowHeight="14.4" x14ac:dyDescent="0.3"/>
  <cols>
    <col min="1" max="1" width="20" customWidth="1"/>
    <col min="2" max="2" width="30" customWidth="1"/>
    <col min="3" max="4" width="10" customWidth="1"/>
    <col min="5" max="5" width="12" customWidth="1"/>
    <col min="6" max="6" width="21" customWidth="1"/>
    <col min="7" max="7" width="25" customWidth="1"/>
    <col min="8" max="8" width="21" customWidth="1"/>
    <col min="9" max="9" width="18" customWidth="1"/>
    <col min="10" max="10" width="16" customWidth="1"/>
    <col min="11" max="11" width="26" customWidth="1"/>
    <col min="12" max="12" width="21" customWidth="1"/>
    <col min="13" max="13" width="19" customWidth="1"/>
    <col min="14" max="14" width="17" customWidth="1"/>
    <col min="15" max="15" width="27" customWidth="1"/>
    <col min="16" max="16" width="21" customWidth="1"/>
    <col min="17" max="17" width="20" customWidth="1"/>
    <col min="18" max="18" width="18" customWidth="1"/>
    <col min="19" max="19" width="25.44140625" customWidth="1"/>
    <col min="20" max="20" width="18" customWidth="1"/>
    <col min="21" max="21" width="16.88671875" customWidth="1"/>
    <col min="22" max="22" width="15.33203125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393</v>
      </c>
      <c r="T1" s="1" t="s">
        <v>392</v>
      </c>
      <c r="U1" s="1" t="s">
        <v>390</v>
      </c>
      <c r="V1" s="1" t="s">
        <v>391</v>
      </c>
    </row>
    <row r="2" spans="1:22" x14ac:dyDescent="0.3">
      <c r="A2" t="s">
        <v>18</v>
      </c>
      <c r="B2" t="s">
        <v>19</v>
      </c>
      <c r="C2" s="2">
        <v>15606</v>
      </c>
      <c r="D2" s="2">
        <v>7803</v>
      </c>
      <c r="E2" s="3">
        <v>4.4082999999999997E-4</v>
      </c>
      <c r="F2" s="4">
        <v>139</v>
      </c>
      <c r="G2" s="4">
        <v>139</v>
      </c>
      <c r="H2" s="4">
        <v>295.60000000000002</v>
      </c>
      <c r="I2" s="2">
        <v>185.65019100000001</v>
      </c>
      <c r="J2" s="2">
        <v>1</v>
      </c>
      <c r="K2" s="4">
        <v>139</v>
      </c>
      <c r="L2" s="4">
        <v>150.80000000000001</v>
      </c>
      <c r="M2" s="2">
        <v>64.848743999999996</v>
      </c>
      <c r="N2" s="2">
        <v>8</v>
      </c>
      <c r="O2" s="4">
        <v>139</v>
      </c>
      <c r="P2" s="4">
        <v>139</v>
      </c>
      <c r="Q2" s="2">
        <v>94.885276000000005</v>
      </c>
      <c r="R2" s="2">
        <v>10</v>
      </c>
      <c r="S2" s="2"/>
      <c r="T2" s="2"/>
    </row>
    <row r="3" spans="1:22" x14ac:dyDescent="0.3">
      <c r="A3" t="s">
        <v>18</v>
      </c>
      <c r="B3" t="s">
        <v>20</v>
      </c>
      <c r="C3" s="2">
        <v>13992</v>
      </c>
      <c r="D3" s="2">
        <v>6996</v>
      </c>
      <c r="E3" s="3">
        <v>3.1642700000000003E-3</v>
      </c>
      <c r="F3" s="4">
        <v>2843</v>
      </c>
      <c r="G3" s="4">
        <v>2843</v>
      </c>
      <c r="H3" s="4">
        <v>2843.6</v>
      </c>
      <c r="I3" s="2">
        <v>232.618009</v>
      </c>
      <c r="J3" s="2">
        <v>8</v>
      </c>
      <c r="K3" s="4">
        <v>2843</v>
      </c>
      <c r="L3" s="4">
        <v>2843</v>
      </c>
      <c r="M3" s="2">
        <v>48.734838000000003</v>
      </c>
      <c r="N3" s="2">
        <v>10</v>
      </c>
      <c r="O3" s="4">
        <v>2843</v>
      </c>
      <c r="P3" s="4">
        <v>2843</v>
      </c>
      <c r="Q3" s="2">
        <v>31.865582</v>
      </c>
      <c r="R3" s="2">
        <v>10</v>
      </c>
      <c r="S3" s="2"/>
      <c r="T3" s="2"/>
    </row>
    <row r="4" spans="1:22" x14ac:dyDescent="0.3">
      <c r="A4" t="s">
        <v>18</v>
      </c>
      <c r="B4" t="s">
        <v>21</v>
      </c>
      <c r="C4" s="2">
        <v>8738</v>
      </c>
      <c r="D4" s="2">
        <v>4369</v>
      </c>
      <c r="E4" s="3">
        <v>7.7522400000000005E-3</v>
      </c>
      <c r="F4" s="4">
        <v>10171</v>
      </c>
      <c r="G4" s="4">
        <v>10171</v>
      </c>
      <c r="H4" s="4">
        <v>10171</v>
      </c>
      <c r="I4" s="2">
        <v>48.190638</v>
      </c>
      <c r="J4" s="2">
        <v>10</v>
      </c>
      <c r="K4" s="4">
        <v>10171</v>
      </c>
      <c r="L4" s="4">
        <v>10171</v>
      </c>
      <c r="M4" s="2">
        <v>5.8745989999999999</v>
      </c>
      <c r="N4" s="2">
        <v>10</v>
      </c>
      <c r="O4" s="4">
        <v>10171</v>
      </c>
      <c r="P4" s="4">
        <v>10171</v>
      </c>
      <c r="Q4" s="2">
        <v>3.2104300000000001</v>
      </c>
      <c r="R4" s="2">
        <v>10</v>
      </c>
      <c r="S4" s="2"/>
      <c r="T4" s="2"/>
    </row>
    <row r="5" spans="1:22" x14ac:dyDescent="0.3">
      <c r="A5" t="s">
        <v>18</v>
      </c>
      <c r="B5" t="s">
        <v>22</v>
      </c>
      <c r="C5" s="2">
        <v>10240</v>
      </c>
      <c r="D5" s="2">
        <v>5120</v>
      </c>
      <c r="E5" s="3">
        <v>6.7710999999999997E-4</v>
      </c>
      <c r="F5" s="4">
        <v>184</v>
      </c>
      <c r="G5" s="4">
        <v>184</v>
      </c>
      <c r="H5" s="4">
        <v>193.9</v>
      </c>
      <c r="I5" s="2">
        <v>96.742536000000001</v>
      </c>
      <c r="J5" s="2">
        <v>4</v>
      </c>
      <c r="K5" s="4">
        <v>184</v>
      </c>
      <c r="L5" s="4">
        <v>184.2</v>
      </c>
      <c r="M5" s="2">
        <v>283.22270800000001</v>
      </c>
      <c r="N5" s="2">
        <v>8</v>
      </c>
      <c r="O5" s="4">
        <v>184</v>
      </c>
      <c r="P5" s="4">
        <v>184</v>
      </c>
      <c r="Q5" s="2">
        <v>199.62517800000001</v>
      </c>
      <c r="R5" s="2">
        <v>10</v>
      </c>
      <c r="S5" s="2"/>
      <c r="T5" s="2"/>
    </row>
    <row r="6" spans="1:22" x14ac:dyDescent="0.3">
      <c r="A6" t="s">
        <v>18</v>
      </c>
      <c r="B6" t="s">
        <v>23</v>
      </c>
      <c r="C6" s="2">
        <v>16840</v>
      </c>
      <c r="D6" s="2">
        <v>8420</v>
      </c>
      <c r="E6" s="3">
        <v>3.9954000000000004E-4</v>
      </c>
      <c r="F6" s="4">
        <v>334</v>
      </c>
      <c r="G6" s="4">
        <v>334</v>
      </c>
      <c r="H6" s="4">
        <v>365.3</v>
      </c>
      <c r="I6" s="2">
        <v>345.15194700000001</v>
      </c>
      <c r="J6" s="2">
        <v>3</v>
      </c>
      <c r="K6" s="4">
        <v>334</v>
      </c>
      <c r="L6" s="4">
        <v>334</v>
      </c>
      <c r="M6" s="2">
        <v>128.57876899999999</v>
      </c>
      <c r="N6" s="2">
        <v>10</v>
      </c>
      <c r="O6" s="4">
        <v>334</v>
      </c>
      <c r="P6" s="4">
        <v>334</v>
      </c>
      <c r="Q6" s="2">
        <v>85.439875999999998</v>
      </c>
      <c r="R6" s="2">
        <v>10</v>
      </c>
      <c r="S6" s="2"/>
      <c r="T6" s="2"/>
    </row>
    <row r="7" spans="1:22" x14ac:dyDescent="0.3">
      <c r="A7" t="s">
        <v>18</v>
      </c>
      <c r="B7" t="s">
        <v>24</v>
      </c>
      <c r="C7" s="2">
        <v>11143</v>
      </c>
      <c r="D7" s="2">
        <v>5572</v>
      </c>
      <c r="E7" s="3">
        <v>6.1835999999999998E-4</v>
      </c>
      <c r="F7" s="4">
        <v>130</v>
      </c>
      <c r="G7" s="4">
        <v>236</v>
      </c>
      <c r="H7" s="4">
        <v>448.2</v>
      </c>
      <c r="I7" s="5" t="s">
        <v>25</v>
      </c>
      <c r="J7" s="2">
        <v>0</v>
      </c>
      <c r="K7" s="4">
        <v>208</v>
      </c>
      <c r="L7" s="4">
        <v>251.8</v>
      </c>
      <c r="M7" s="5" t="s">
        <v>25</v>
      </c>
      <c r="N7" s="2">
        <v>0</v>
      </c>
      <c r="O7" s="4">
        <v>130</v>
      </c>
      <c r="P7" s="4">
        <v>206.5</v>
      </c>
      <c r="Q7" s="2">
        <v>360.21733399999999</v>
      </c>
      <c r="R7" s="2">
        <v>2</v>
      </c>
      <c r="S7" s="2"/>
      <c r="T7" s="2"/>
    </row>
    <row r="8" spans="1:22" x14ac:dyDescent="0.3">
      <c r="A8" t="s">
        <v>18</v>
      </c>
      <c r="B8" t="s">
        <v>26</v>
      </c>
      <c r="C8" s="2">
        <v>16386</v>
      </c>
      <c r="D8" s="2">
        <v>8193</v>
      </c>
      <c r="E8" s="3">
        <v>4.2715000000000006E-4</v>
      </c>
      <c r="F8" s="4">
        <v>386</v>
      </c>
      <c r="G8" s="4">
        <v>386</v>
      </c>
      <c r="H8" s="4">
        <v>450.8</v>
      </c>
      <c r="I8" s="2">
        <v>436.86001700000003</v>
      </c>
      <c r="J8" s="2">
        <v>2</v>
      </c>
      <c r="K8" s="4">
        <v>386</v>
      </c>
      <c r="L8" s="4">
        <v>394.4</v>
      </c>
      <c r="M8" s="2">
        <v>437.76453199999997</v>
      </c>
      <c r="N8" s="2">
        <v>9</v>
      </c>
      <c r="O8" s="4">
        <v>386</v>
      </c>
      <c r="P8" s="4">
        <v>386</v>
      </c>
      <c r="Q8" s="2">
        <v>298.98943200000002</v>
      </c>
      <c r="R8" s="2">
        <v>10</v>
      </c>
      <c r="S8" s="2"/>
      <c r="T8" s="2"/>
    </row>
    <row r="9" spans="1:22" x14ac:dyDescent="0.3">
      <c r="A9" t="s">
        <v>18</v>
      </c>
      <c r="B9" t="s">
        <v>27</v>
      </c>
      <c r="C9" s="2">
        <v>9800</v>
      </c>
      <c r="D9" s="2">
        <v>4900</v>
      </c>
      <c r="E9" s="3">
        <v>7.0573000000000001E-4</v>
      </c>
      <c r="F9" s="4">
        <v>127</v>
      </c>
      <c r="G9" s="4">
        <v>129</v>
      </c>
      <c r="H9" s="4">
        <v>248</v>
      </c>
      <c r="I9" s="5" t="s">
        <v>25</v>
      </c>
      <c r="J9" s="2">
        <v>0</v>
      </c>
      <c r="K9" s="4">
        <v>127</v>
      </c>
      <c r="L9" s="4">
        <v>143.69999999999999</v>
      </c>
      <c r="M9" s="2">
        <v>440.15562</v>
      </c>
      <c r="N9" s="2">
        <v>5</v>
      </c>
      <c r="O9" s="4">
        <v>127</v>
      </c>
      <c r="P9" s="4">
        <v>127.3</v>
      </c>
      <c r="Q9" s="2">
        <v>422.32430599999998</v>
      </c>
      <c r="R9" s="2">
        <v>7</v>
      </c>
      <c r="S9" s="2"/>
      <c r="T9" s="2"/>
    </row>
    <row r="10" spans="1:22" x14ac:dyDescent="0.3">
      <c r="C10" s="2"/>
      <c r="D10" s="2"/>
      <c r="E10" s="3"/>
      <c r="F10" s="4"/>
      <c r="G10" s="4"/>
      <c r="H10" s="4"/>
      <c r="I10" s="5"/>
      <c r="J10" s="2"/>
      <c r="K10" s="4"/>
      <c r="L10" s="4"/>
      <c r="M10" s="5"/>
      <c r="N10" s="2"/>
      <c r="O10" s="4"/>
      <c r="P10" s="4"/>
      <c r="Q10" s="5"/>
      <c r="R10" s="2"/>
      <c r="S10" s="2"/>
      <c r="T10" s="2"/>
    </row>
    <row r="11" spans="1:22" x14ac:dyDescent="0.3">
      <c r="A11" t="s">
        <v>28</v>
      </c>
      <c r="B11" t="s">
        <v>29</v>
      </c>
      <c r="C11" s="2">
        <v>450</v>
      </c>
      <c r="D11" s="2">
        <v>30</v>
      </c>
      <c r="E11" s="3">
        <v>0.82170863999999999</v>
      </c>
      <c r="F11" s="4">
        <v>870</v>
      </c>
      <c r="G11" s="4">
        <v>870</v>
      </c>
      <c r="H11" s="4">
        <v>870</v>
      </c>
      <c r="I11" s="4">
        <v>0.115061</v>
      </c>
      <c r="J11" s="2">
        <v>10</v>
      </c>
      <c r="K11" s="4">
        <v>870</v>
      </c>
      <c r="L11" s="4">
        <v>870</v>
      </c>
      <c r="M11" s="4">
        <v>2.1860000000000001E-2</v>
      </c>
      <c r="N11" s="2">
        <v>10</v>
      </c>
      <c r="O11" s="4">
        <v>870</v>
      </c>
      <c r="P11" s="4">
        <v>870</v>
      </c>
      <c r="Q11" s="4">
        <v>1.5813000000000001E-2</v>
      </c>
      <c r="R11" s="2">
        <v>10</v>
      </c>
      <c r="S11" s="5">
        <v>870</v>
      </c>
      <c r="T11" s="5">
        <v>870</v>
      </c>
      <c r="U11">
        <v>12.182320000000001</v>
      </c>
      <c r="V11" s="2">
        <v>10</v>
      </c>
    </row>
    <row r="12" spans="1:22" x14ac:dyDescent="0.3">
      <c r="A12" t="s">
        <v>28</v>
      </c>
      <c r="B12" t="s">
        <v>30</v>
      </c>
      <c r="C12" s="2">
        <v>450</v>
      </c>
      <c r="D12" s="2">
        <v>30</v>
      </c>
      <c r="E12" s="3">
        <v>0.82124443999999996</v>
      </c>
      <c r="F12" s="4">
        <v>870</v>
      </c>
      <c r="G12" s="4">
        <v>870</v>
      </c>
      <c r="H12" s="4">
        <v>870</v>
      </c>
      <c r="I12" s="4">
        <v>0.20017699999999999</v>
      </c>
      <c r="J12" s="2">
        <v>10</v>
      </c>
      <c r="K12" s="4">
        <v>870</v>
      </c>
      <c r="L12" s="4">
        <v>870</v>
      </c>
      <c r="M12" s="4">
        <v>2.7876999999999999E-2</v>
      </c>
      <c r="N12" s="2">
        <v>10</v>
      </c>
      <c r="O12" s="4">
        <v>870</v>
      </c>
      <c r="P12" s="4">
        <v>870</v>
      </c>
      <c r="Q12" s="4">
        <v>1.7388000000000001E-2</v>
      </c>
      <c r="R12" s="2">
        <v>10</v>
      </c>
      <c r="S12" s="5">
        <v>870</v>
      </c>
      <c r="T12" s="5">
        <v>870</v>
      </c>
      <c r="U12">
        <v>22.667594999999999</v>
      </c>
      <c r="V12" s="2">
        <v>10</v>
      </c>
    </row>
    <row r="13" spans="1:22" x14ac:dyDescent="0.3">
      <c r="A13" t="s">
        <v>28</v>
      </c>
      <c r="B13" t="s">
        <v>31</v>
      </c>
      <c r="C13" s="2">
        <v>450</v>
      </c>
      <c r="D13" s="2">
        <v>30</v>
      </c>
      <c r="E13" s="3">
        <v>0.82188642000000001</v>
      </c>
      <c r="F13" s="4">
        <v>870</v>
      </c>
      <c r="G13" s="4">
        <v>870</v>
      </c>
      <c r="H13" s="4">
        <v>870</v>
      </c>
      <c r="I13" s="4">
        <v>3.218925</v>
      </c>
      <c r="J13" s="2">
        <v>10</v>
      </c>
      <c r="K13" s="4">
        <v>870</v>
      </c>
      <c r="L13" s="4">
        <v>870</v>
      </c>
      <c r="M13" s="4">
        <v>0.30593500000000001</v>
      </c>
      <c r="N13" s="2">
        <v>10</v>
      </c>
      <c r="O13" s="4">
        <v>870</v>
      </c>
      <c r="P13" s="4">
        <v>870</v>
      </c>
      <c r="Q13" s="4">
        <v>0.18009600000000001</v>
      </c>
      <c r="R13" s="2">
        <v>10</v>
      </c>
      <c r="S13" s="5">
        <v>870</v>
      </c>
      <c r="T13" s="5">
        <v>869.8</v>
      </c>
      <c r="U13">
        <v>257.97306600000002</v>
      </c>
      <c r="V13" s="2">
        <v>8</v>
      </c>
    </row>
    <row r="14" spans="1:22" x14ac:dyDescent="0.3">
      <c r="A14" t="s">
        <v>28</v>
      </c>
      <c r="B14" t="s">
        <v>32</v>
      </c>
      <c r="C14" s="2">
        <v>450</v>
      </c>
      <c r="D14" s="2">
        <v>30</v>
      </c>
      <c r="E14" s="3">
        <v>0.82166914000000002</v>
      </c>
      <c r="F14" s="4">
        <v>870</v>
      </c>
      <c r="G14" s="4">
        <v>870</v>
      </c>
      <c r="H14" s="4">
        <v>870</v>
      </c>
      <c r="I14" s="4">
        <v>0.16370799999999999</v>
      </c>
      <c r="J14" s="2">
        <v>10</v>
      </c>
      <c r="K14" s="4">
        <v>870</v>
      </c>
      <c r="L14" s="4">
        <v>870</v>
      </c>
      <c r="M14" s="4">
        <v>2.0448000000000001E-2</v>
      </c>
      <c r="N14" s="2">
        <v>10</v>
      </c>
      <c r="O14" s="4">
        <v>870</v>
      </c>
      <c r="P14" s="4">
        <v>870</v>
      </c>
      <c r="Q14" s="4">
        <v>1.7256000000000001E-2</v>
      </c>
      <c r="R14" s="2">
        <v>10</v>
      </c>
      <c r="S14" s="5">
        <v>870</v>
      </c>
      <c r="T14" s="5">
        <v>870</v>
      </c>
      <c r="U14">
        <v>16.028251999999998</v>
      </c>
      <c r="V14" s="2">
        <v>10</v>
      </c>
    </row>
    <row r="15" spans="1:22" x14ac:dyDescent="0.3">
      <c r="A15" t="s">
        <v>28</v>
      </c>
      <c r="B15" t="s">
        <v>33</v>
      </c>
      <c r="C15" s="2">
        <v>450</v>
      </c>
      <c r="D15" s="2">
        <v>30</v>
      </c>
      <c r="E15" s="3">
        <v>0.82203457000000002</v>
      </c>
      <c r="F15" s="4">
        <v>870</v>
      </c>
      <c r="G15" s="4">
        <v>870</v>
      </c>
      <c r="H15" s="4">
        <v>870</v>
      </c>
      <c r="I15" s="4">
        <v>1.4055260000000001</v>
      </c>
      <c r="J15" s="2">
        <v>10</v>
      </c>
      <c r="K15" s="4">
        <v>870</v>
      </c>
      <c r="L15" s="4">
        <v>870</v>
      </c>
      <c r="M15" s="4">
        <v>0.236674</v>
      </c>
      <c r="N15" s="2">
        <v>10</v>
      </c>
      <c r="O15" s="4">
        <v>870</v>
      </c>
      <c r="P15" s="4">
        <v>870</v>
      </c>
      <c r="Q15" s="4">
        <v>0.10105500000000001</v>
      </c>
      <c r="R15" s="2">
        <v>10</v>
      </c>
      <c r="S15" s="5">
        <v>870</v>
      </c>
      <c r="T15" s="5">
        <v>870</v>
      </c>
      <c r="U15">
        <v>204.15234000000001</v>
      </c>
      <c r="V15" s="2">
        <v>10</v>
      </c>
    </row>
    <row r="16" spans="1:22" x14ac:dyDescent="0.3">
      <c r="A16" t="s">
        <v>28</v>
      </c>
      <c r="B16" t="s">
        <v>34</v>
      </c>
      <c r="C16" s="2">
        <v>595</v>
      </c>
      <c r="D16" s="2">
        <v>35</v>
      </c>
      <c r="E16" s="3">
        <v>0.84095191000000002</v>
      </c>
      <c r="F16" s="4">
        <v>1190</v>
      </c>
      <c r="G16" s="4">
        <v>1190</v>
      </c>
      <c r="H16" s="4">
        <v>1190</v>
      </c>
      <c r="I16" s="4">
        <v>38.665709999999997</v>
      </c>
      <c r="J16" s="2">
        <v>10</v>
      </c>
      <c r="K16" s="4">
        <v>1190</v>
      </c>
      <c r="L16" s="4">
        <v>1190</v>
      </c>
      <c r="M16" s="4">
        <v>4.1333739999999999</v>
      </c>
      <c r="N16" s="2">
        <v>10</v>
      </c>
      <c r="O16" s="4">
        <v>1190</v>
      </c>
      <c r="P16" s="4">
        <v>1190</v>
      </c>
      <c r="Q16" s="4">
        <v>3.0070809999999999</v>
      </c>
      <c r="R16" s="2">
        <v>10</v>
      </c>
      <c r="S16" s="5">
        <v>1189</v>
      </c>
      <c r="T16" s="5">
        <v>1187.9000000000001</v>
      </c>
      <c r="U16" t="s">
        <v>25</v>
      </c>
      <c r="V16" s="2">
        <v>0</v>
      </c>
    </row>
    <row r="17" spans="1:22" x14ac:dyDescent="0.3">
      <c r="A17" t="s">
        <v>28</v>
      </c>
      <c r="B17" t="s">
        <v>35</v>
      </c>
      <c r="C17" s="2">
        <v>595</v>
      </c>
      <c r="D17" s="2">
        <v>35</v>
      </c>
      <c r="E17" s="3">
        <v>0.84100274999999991</v>
      </c>
      <c r="F17" s="4">
        <v>1190</v>
      </c>
      <c r="G17" s="4">
        <v>1190</v>
      </c>
      <c r="H17" s="4">
        <v>1190</v>
      </c>
      <c r="I17" s="4">
        <v>11.154303000000001</v>
      </c>
      <c r="J17" s="2">
        <v>10</v>
      </c>
      <c r="K17" s="4">
        <v>1190</v>
      </c>
      <c r="L17" s="4">
        <v>1190</v>
      </c>
      <c r="M17" s="4">
        <v>1.320905</v>
      </c>
      <c r="N17" s="2">
        <v>10</v>
      </c>
      <c r="O17" s="4">
        <v>1190</v>
      </c>
      <c r="P17" s="4">
        <v>1190</v>
      </c>
      <c r="Q17" s="4">
        <v>0.36038599999999998</v>
      </c>
      <c r="R17" s="2">
        <v>10</v>
      </c>
      <c r="S17" s="5">
        <v>1190</v>
      </c>
      <c r="T17" s="5">
        <v>1189.7</v>
      </c>
      <c r="U17">
        <v>275.66604699999999</v>
      </c>
      <c r="V17" s="2">
        <v>7</v>
      </c>
    </row>
    <row r="18" spans="1:22" x14ac:dyDescent="0.3">
      <c r="A18" t="s">
        <v>28</v>
      </c>
      <c r="B18" t="s">
        <v>36</v>
      </c>
      <c r="C18" s="2">
        <v>595</v>
      </c>
      <c r="D18" s="2">
        <v>35</v>
      </c>
      <c r="E18" s="3">
        <v>0.84052821</v>
      </c>
      <c r="F18" s="4">
        <v>1190</v>
      </c>
      <c r="G18" s="4">
        <v>1190</v>
      </c>
      <c r="H18" s="4">
        <v>1190</v>
      </c>
      <c r="I18" s="4">
        <v>0.69126500000000002</v>
      </c>
      <c r="J18" s="2">
        <v>10</v>
      </c>
      <c r="K18" s="4">
        <v>1190</v>
      </c>
      <c r="L18" s="4">
        <v>1190</v>
      </c>
      <c r="M18" s="4">
        <v>7.9252000000000003E-2</v>
      </c>
      <c r="N18" s="2">
        <v>10</v>
      </c>
      <c r="O18" s="4">
        <v>1190</v>
      </c>
      <c r="P18" s="4">
        <v>1190</v>
      </c>
      <c r="Q18" s="4">
        <v>4.7569E-2</v>
      </c>
      <c r="R18" s="2">
        <v>10</v>
      </c>
      <c r="S18" s="5">
        <v>1190</v>
      </c>
      <c r="T18" s="5">
        <v>1190</v>
      </c>
      <c r="U18">
        <v>33.365492000000003</v>
      </c>
      <c r="V18" s="2">
        <v>10</v>
      </c>
    </row>
    <row r="19" spans="1:22" x14ac:dyDescent="0.3">
      <c r="A19" t="s">
        <v>28</v>
      </c>
      <c r="B19" t="s">
        <v>37</v>
      </c>
      <c r="C19" s="2">
        <v>595</v>
      </c>
      <c r="D19" s="2">
        <v>35</v>
      </c>
      <c r="E19" s="3">
        <v>0.84103099999999997</v>
      </c>
      <c r="F19" s="4">
        <v>1190</v>
      </c>
      <c r="G19" s="4">
        <v>1190</v>
      </c>
      <c r="H19" s="4">
        <v>1190</v>
      </c>
      <c r="I19" s="4">
        <v>33.872172999999997</v>
      </c>
      <c r="J19" s="2">
        <v>10</v>
      </c>
      <c r="K19" s="4">
        <v>1190</v>
      </c>
      <c r="L19" s="4">
        <v>1190</v>
      </c>
      <c r="M19" s="4">
        <v>3.5632450000000002</v>
      </c>
      <c r="N19" s="2">
        <v>10</v>
      </c>
      <c r="O19" s="4">
        <v>1190</v>
      </c>
      <c r="P19" s="4">
        <v>1190</v>
      </c>
      <c r="Q19" s="4">
        <v>2.1027079999999998</v>
      </c>
      <c r="R19" s="2">
        <v>10</v>
      </c>
      <c r="S19" s="5">
        <v>1190</v>
      </c>
      <c r="T19" s="5">
        <v>1189</v>
      </c>
      <c r="U19">
        <v>546.40488500000004</v>
      </c>
      <c r="V19" s="2">
        <v>2</v>
      </c>
    </row>
    <row r="20" spans="1:22" x14ac:dyDescent="0.3">
      <c r="A20" t="s">
        <v>28</v>
      </c>
      <c r="B20" t="s">
        <v>38</v>
      </c>
      <c r="C20" s="2">
        <v>595</v>
      </c>
      <c r="D20" s="2">
        <v>35</v>
      </c>
      <c r="E20" s="3">
        <v>0.83933055999999995</v>
      </c>
      <c r="F20" s="4">
        <v>1190</v>
      </c>
      <c r="G20" s="4">
        <v>1190</v>
      </c>
      <c r="H20" s="4">
        <v>1190</v>
      </c>
      <c r="I20" s="4">
        <v>1.9525840000000001</v>
      </c>
      <c r="J20" s="2">
        <v>10</v>
      </c>
      <c r="K20" s="4">
        <v>1190</v>
      </c>
      <c r="L20" s="4">
        <v>1190</v>
      </c>
      <c r="M20" s="4">
        <v>0.36615300000000001</v>
      </c>
      <c r="N20" s="2">
        <v>10</v>
      </c>
      <c r="O20" s="4">
        <v>1190</v>
      </c>
      <c r="P20" s="4">
        <v>1190</v>
      </c>
      <c r="Q20" s="4">
        <v>0.26855099999999998</v>
      </c>
      <c r="R20" s="2">
        <v>10</v>
      </c>
      <c r="S20" s="5">
        <v>1190</v>
      </c>
      <c r="T20" s="5">
        <v>1189.9000000000001</v>
      </c>
      <c r="U20">
        <v>252.462941</v>
      </c>
      <c r="V20" s="2">
        <v>9</v>
      </c>
    </row>
    <row r="21" spans="1:22" x14ac:dyDescent="0.3">
      <c r="A21" t="s">
        <v>28</v>
      </c>
      <c r="B21" t="s">
        <v>39</v>
      </c>
      <c r="C21" s="2">
        <v>760</v>
      </c>
      <c r="D21" s="2">
        <v>40</v>
      </c>
      <c r="E21" s="3">
        <v>0.85563018999999996</v>
      </c>
      <c r="F21" s="4">
        <v>1560</v>
      </c>
      <c r="G21" s="4">
        <v>1560</v>
      </c>
      <c r="H21" s="4">
        <v>1560</v>
      </c>
      <c r="I21" s="4">
        <v>6.5238750000000003</v>
      </c>
      <c r="J21" s="2">
        <v>10</v>
      </c>
      <c r="K21" s="4">
        <v>1560</v>
      </c>
      <c r="L21" s="4">
        <v>1560</v>
      </c>
      <c r="M21" s="4">
        <v>1.1800139999999999</v>
      </c>
      <c r="N21" s="2">
        <v>10</v>
      </c>
      <c r="O21" s="4">
        <v>1560</v>
      </c>
      <c r="P21" s="4">
        <v>1560</v>
      </c>
      <c r="Q21" s="4">
        <v>0.67117599999999999</v>
      </c>
      <c r="R21" s="2">
        <v>10</v>
      </c>
      <c r="S21" s="5">
        <v>1560</v>
      </c>
      <c r="T21" s="5">
        <v>1559.2</v>
      </c>
      <c r="U21">
        <v>353.136686</v>
      </c>
      <c r="V21" s="2">
        <v>7</v>
      </c>
    </row>
    <row r="22" spans="1:22" x14ac:dyDescent="0.3">
      <c r="A22" t="s">
        <v>28</v>
      </c>
      <c r="B22" t="s">
        <v>40</v>
      </c>
      <c r="C22" s="2">
        <v>760</v>
      </c>
      <c r="D22" s="2">
        <v>40</v>
      </c>
      <c r="E22" s="3">
        <v>0.85580679000000004</v>
      </c>
      <c r="F22" s="4">
        <v>1560</v>
      </c>
      <c r="G22" s="4">
        <v>1560</v>
      </c>
      <c r="H22" s="4">
        <v>1559.8</v>
      </c>
      <c r="I22" s="4">
        <v>92.236992000000001</v>
      </c>
      <c r="J22" s="2">
        <v>9</v>
      </c>
      <c r="K22" s="4">
        <v>1560</v>
      </c>
      <c r="L22" s="4">
        <v>1560</v>
      </c>
      <c r="M22" s="4">
        <v>10.822520000000001</v>
      </c>
      <c r="N22" s="2">
        <v>10</v>
      </c>
      <c r="O22" s="4">
        <v>1560</v>
      </c>
      <c r="P22" s="4">
        <v>1560</v>
      </c>
      <c r="Q22" s="4">
        <v>23.741235</v>
      </c>
      <c r="R22" s="2">
        <v>10</v>
      </c>
      <c r="S22" s="5">
        <v>1558</v>
      </c>
      <c r="T22" s="5">
        <v>1557.6</v>
      </c>
      <c r="U22" t="s">
        <v>25</v>
      </c>
      <c r="V22" s="2">
        <v>0</v>
      </c>
    </row>
    <row r="23" spans="1:22" x14ac:dyDescent="0.3">
      <c r="A23" t="s">
        <v>28</v>
      </c>
      <c r="B23" t="s">
        <v>41</v>
      </c>
      <c r="C23" s="2">
        <v>760</v>
      </c>
      <c r="D23" s="2">
        <v>40</v>
      </c>
      <c r="E23" s="3">
        <v>0.8563885</v>
      </c>
      <c r="F23" s="4">
        <v>1560</v>
      </c>
      <c r="G23" s="4">
        <v>1560</v>
      </c>
      <c r="H23" s="4">
        <v>1560</v>
      </c>
      <c r="I23" s="4">
        <v>23.912417000000001</v>
      </c>
      <c r="J23" s="2">
        <v>10</v>
      </c>
      <c r="K23" s="4">
        <v>1560</v>
      </c>
      <c r="L23" s="4">
        <v>1560</v>
      </c>
      <c r="M23" s="4">
        <v>1.796562</v>
      </c>
      <c r="N23" s="2">
        <v>10</v>
      </c>
      <c r="O23" s="4">
        <v>1560</v>
      </c>
      <c r="P23" s="4">
        <v>1560</v>
      </c>
      <c r="Q23" s="4">
        <v>1.497655</v>
      </c>
      <c r="R23" s="2">
        <v>10</v>
      </c>
      <c r="S23" s="5">
        <v>1560</v>
      </c>
      <c r="T23" s="5">
        <v>1558.9</v>
      </c>
      <c r="U23">
        <v>246.78584000000001</v>
      </c>
      <c r="V23" s="2">
        <v>5</v>
      </c>
    </row>
    <row r="24" spans="1:22" x14ac:dyDescent="0.3">
      <c r="A24" t="s">
        <v>28</v>
      </c>
      <c r="B24" t="s">
        <v>42</v>
      </c>
      <c r="C24" s="2">
        <v>760</v>
      </c>
      <c r="D24" s="2">
        <v>40</v>
      </c>
      <c r="E24" s="3">
        <v>0.85462258000000002</v>
      </c>
      <c r="F24" s="4">
        <v>1560</v>
      </c>
      <c r="G24" s="4">
        <v>1560</v>
      </c>
      <c r="H24" s="4">
        <v>1560</v>
      </c>
      <c r="I24" s="4">
        <v>72.899178000000006</v>
      </c>
      <c r="J24" s="2">
        <v>10</v>
      </c>
      <c r="K24" s="4">
        <v>1560</v>
      </c>
      <c r="L24" s="4">
        <v>1560</v>
      </c>
      <c r="M24" s="4">
        <v>14.247438000000001</v>
      </c>
      <c r="N24" s="2">
        <v>10</v>
      </c>
      <c r="O24" s="4">
        <v>1560</v>
      </c>
      <c r="P24" s="4">
        <v>1560</v>
      </c>
      <c r="Q24" s="4">
        <v>3.279328</v>
      </c>
      <c r="R24" s="2">
        <v>10</v>
      </c>
      <c r="S24" s="5">
        <v>1558</v>
      </c>
      <c r="T24" s="5">
        <v>1557.4</v>
      </c>
      <c r="U24" t="s">
        <v>25</v>
      </c>
      <c r="V24" s="2">
        <v>0</v>
      </c>
    </row>
    <row r="25" spans="1:22" x14ac:dyDescent="0.3">
      <c r="A25" t="s">
        <v>28</v>
      </c>
      <c r="B25" t="s">
        <v>43</v>
      </c>
      <c r="C25" s="2">
        <v>760</v>
      </c>
      <c r="D25" s="2">
        <v>40</v>
      </c>
      <c r="E25" s="3">
        <v>0.8545741</v>
      </c>
      <c r="F25" s="4">
        <v>1560</v>
      </c>
      <c r="G25" s="4">
        <v>1560</v>
      </c>
      <c r="H25" s="4">
        <v>1558.8</v>
      </c>
      <c r="I25" s="4">
        <v>381.96966700000002</v>
      </c>
      <c r="J25" s="2">
        <v>4</v>
      </c>
      <c r="K25" s="4">
        <v>1560</v>
      </c>
      <c r="L25" s="4">
        <v>1560</v>
      </c>
      <c r="M25" s="4">
        <v>107.275856</v>
      </c>
      <c r="N25" s="2">
        <v>10</v>
      </c>
      <c r="O25" s="4">
        <v>1560</v>
      </c>
      <c r="P25" s="4">
        <v>1560</v>
      </c>
      <c r="Q25" s="4">
        <v>63.929957999999999</v>
      </c>
      <c r="R25" s="2">
        <v>10</v>
      </c>
      <c r="S25" s="5">
        <v>1558</v>
      </c>
      <c r="T25" s="5">
        <v>1557.5</v>
      </c>
      <c r="U25" t="s">
        <v>25</v>
      </c>
      <c r="V25" s="2">
        <v>0</v>
      </c>
    </row>
    <row r="26" spans="1:22" x14ac:dyDescent="0.3">
      <c r="A26" t="s">
        <v>28</v>
      </c>
      <c r="B26" t="s">
        <v>44</v>
      </c>
      <c r="C26" s="2">
        <v>945</v>
      </c>
      <c r="D26" s="2">
        <v>45</v>
      </c>
      <c r="E26" s="3">
        <v>0.86639008000000006</v>
      </c>
      <c r="F26" s="4">
        <v>1980</v>
      </c>
      <c r="G26" s="4">
        <v>1980</v>
      </c>
      <c r="H26" s="4">
        <v>1980</v>
      </c>
      <c r="I26" s="4">
        <v>84.184978000000001</v>
      </c>
      <c r="J26" s="2">
        <v>10</v>
      </c>
      <c r="K26" s="4">
        <v>1980</v>
      </c>
      <c r="L26" s="4">
        <v>1980</v>
      </c>
      <c r="M26" s="4">
        <v>16.326969999999999</v>
      </c>
      <c r="N26" s="2">
        <v>10</v>
      </c>
      <c r="O26" s="4">
        <v>1980</v>
      </c>
      <c r="P26" s="4">
        <v>1980</v>
      </c>
      <c r="Q26" s="4">
        <v>6.2252970000000003</v>
      </c>
      <c r="R26" s="2">
        <v>10</v>
      </c>
      <c r="S26" s="5">
        <v>1978</v>
      </c>
      <c r="T26" s="5">
        <v>1976.4</v>
      </c>
      <c r="U26" t="s">
        <v>25</v>
      </c>
      <c r="V26" s="2">
        <v>0</v>
      </c>
    </row>
    <row r="27" spans="1:22" x14ac:dyDescent="0.3">
      <c r="A27" t="s">
        <v>28</v>
      </c>
      <c r="B27" t="s">
        <v>45</v>
      </c>
      <c r="C27" s="2">
        <v>945</v>
      </c>
      <c r="D27" s="2">
        <v>45</v>
      </c>
      <c r="E27" s="3">
        <v>0.86764871999999993</v>
      </c>
      <c r="F27" s="4">
        <v>1980</v>
      </c>
      <c r="G27" s="4">
        <v>1980</v>
      </c>
      <c r="H27" s="4">
        <v>1980</v>
      </c>
      <c r="I27" s="4">
        <v>242.16059999999999</v>
      </c>
      <c r="J27" s="2">
        <v>10</v>
      </c>
      <c r="K27" s="4">
        <v>1980</v>
      </c>
      <c r="L27" s="4">
        <v>1980</v>
      </c>
      <c r="M27" s="4">
        <v>25.349004999999998</v>
      </c>
      <c r="N27" s="2">
        <v>10</v>
      </c>
      <c r="O27" s="4">
        <v>1980</v>
      </c>
      <c r="P27" s="4">
        <v>1980</v>
      </c>
      <c r="Q27" s="4">
        <v>10.713241999999999</v>
      </c>
      <c r="R27" s="2">
        <v>10</v>
      </c>
      <c r="S27" s="5">
        <v>1978</v>
      </c>
      <c r="T27" s="5">
        <v>1976.8</v>
      </c>
      <c r="U27" t="s">
        <v>25</v>
      </c>
      <c r="V27" s="2">
        <v>0</v>
      </c>
    </row>
    <row r="28" spans="1:22" x14ac:dyDescent="0.3">
      <c r="A28" t="s">
        <v>28</v>
      </c>
      <c r="B28" t="s">
        <v>46</v>
      </c>
      <c r="C28" s="2">
        <v>945</v>
      </c>
      <c r="D28" s="2">
        <v>45</v>
      </c>
      <c r="E28" s="3">
        <v>0.86849751999999991</v>
      </c>
      <c r="F28" s="4">
        <v>1980</v>
      </c>
      <c r="G28" s="4">
        <v>1980</v>
      </c>
      <c r="H28" s="4">
        <v>1979</v>
      </c>
      <c r="I28" s="4">
        <v>335.20566200000002</v>
      </c>
      <c r="J28" s="2">
        <v>5</v>
      </c>
      <c r="K28" s="4">
        <v>1980</v>
      </c>
      <c r="L28" s="4">
        <v>1979.6</v>
      </c>
      <c r="M28" s="4">
        <v>160.97703000000001</v>
      </c>
      <c r="N28" s="2">
        <v>8</v>
      </c>
      <c r="O28" s="4">
        <v>1980</v>
      </c>
      <c r="P28" s="4">
        <v>1980</v>
      </c>
      <c r="Q28" s="4">
        <v>83.290908999999999</v>
      </c>
      <c r="R28" s="2">
        <v>10</v>
      </c>
      <c r="S28" s="5">
        <v>1977</v>
      </c>
      <c r="T28" s="5">
        <v>1975.4</v>
      </c>
      <c r="U28" t="s">
        <v>25</v>
      </c>
      <c r="V28" s="2">
        <v>0</v>
      </c>
    </row>
    <row r="29" spans="1:22" x14ac:dyDescent="0.3">
      <c r="A29" t="s">
        <v>28</v>
      </c>
      <c r="B29" t="s">
        <v>47</v>
      </c>
      <c r="C29" s="2">
        <v>945</v>
      </c>
      <c r="D29" s="2">
        <v>45</v>
      </c>
      <c r="E29" s="3">
        <v>0.86781668999999995</v>
      </c>
      <c r="F29" s="4">
        <v>1980</v>
      </c>
      <c r="G29" s="4">
        <v>1980</v>
      </c>
      <c r="H29" s="4">
        <v>1980</v>
      </c>
      <c r="I29" s="4">
        <v>195.38362799999999</v>
      </c>
      <c r="J29" s="2">
        <v>10</v>
      </c>
      <c r="K29" s="4">
        <v>1980</v>
      </c>
      <c r="L29" s="4">
        <v>1980</v>
      </c>
      <c r="M29" s="4">
        <v>13.591125</v>
      </c>
      <c r="N29" s="2">
        <v>10</v>
      </c>
      <c r="O29" s="4">
        <v>1980</v>
      </c>
      <c r="P29" s="4">
        <v>1980</v>
      </c>
      <c r="Q29" s="4">
        <v>17.213607</v>
      </c>
      <c r="R29" s="2">
        <v>10</v>
      </c>
      <c r="S29" s="5">
        <v>1978</v>
      </c>
      <c r="T29" s="5">
        <v>1977.3</v>
      </c>
      <c r="U29" t="s">
        <v>25</v>
      </c>
      <c r="V29" s="2">
        <v>0</v>
      </c>
    </row>
    <row r="30" spans="1:22" x14ac:dyDescent="0.3">
      <c r="A30" t="s">
        <v>28</v>
      </c>
      <c r="B30" t="s">
        <v>48</v>
      </c>
      <c r="C30" s="2">
        <v>945</v>
      </c>
      <c r="D30" s="2">
        <v>45</v>
      </c>
      <c r="E30" s="3">
        <v>0.86774950000000006</v>
      </c>
      <c r="F30" s="4">
        <v>1980</v>
      </c>
      <c r="G30" s="4">
        <v>1980</v>
      </c>
      <c r="H30" s="4">
        <v>1979.6</v>
      </c>
      <c r="I30" s="4">
        <v>280.765804</v>
      </c>
      <c r="J30" s="2">
        <v>8</v>
      </c>
      <c r="K30" s="4">
        <v>1980</v>
      </c>
      <c r="L30" s="4">
        <v>1980</v>
      </c>
      <c r="M30" s="4">
        <v>39.995517</v>
      </c>
      <c r="N30" s="2">
        <v>10</v>
      </c>
      <c r="O30" s="4">
        <v>1980</v>
      </c>
      <c r="P30" s="4">
        <v>1980</v>
      </c>
      <c r="Q30" s="4">
        <v>10.342917999999999</v>
      </c>
      <c r="R30" s="2">
        <v>10</v>
      </c>
      <c r="S30" s="5">
        <v>1978</v>
      </c>
      <c r="T30" s="5">
        <v>1976.8</v>
      </c>
      <c r="U30" t="s">
        <v>25</v>
      </c>
      <c r="V30" s="2">
        <v>0</v>
      </c>
    </row>
    <row r="31" spans="1:22" x14ac:dyDescent="0.3">
      <c r="A31" t="s">
        <v>28</v>
      </c>
      <c r="B31" t="s">
        <v>49</v>
      </c>
      <c r="C31" s="2">
        <v>1150</v>
      </c>
      <c r="D31" s="2">
        <v>50</v>
      </c>
      <c r="E31" s="3">
        <v>0.87803855999999991</v>
      </c>
      <c r="F31" s="4">
        <v>2450</v>
      </c>
      <c r="G31" s="4">
        <v>2450</v>
      </c>
      <c r="H31" s="4">
        <v>2448.4</v>
      </c>
      <c r="I31" s="4">
        <v>432.65906799999999</v>
      </c>
      <c r="J31" s="2">
        <v>2</v>
      </c>
      <c r="K31" s="4">
        <v>2450</v>
      </c>
      <c r="L31" s="4">
        <v>2449.1999999999998</v>
      </c>
      <c r="M31" s="4">
        <v>328.98740299999997</v>
      </c>
      <c r="N31" s="2">
        <v>6</v>
      </c>
      <c r="O31" s="4">
        <v>2450</v>
      </c>
      <c r="P31" s="4">
        <v>2449.8000000000002</v>
      </c>
      <c r="Q31" s="4">
        <v>96.754247000000007</v>
      </c>
      <c r="R31" s="2">
        <v>9</v>
      </c>
      <c r="S31" s="5">
        <v>2446</v>
      </c>
      <c r="T31" s="5">
        <v>2444.6</v>
      </c>
      <c r="U31" t="s">
        <v>25</v>
      </c>
      <c r="V31" s="2">
        <v>0</v>
      </c>
    </row>
    <row r="32" spans="1:22" x14ac:dyDescent="0.3">
      <c r="A32" t="s">
        <v>28</v>
      </c>
      <c r="B32" t="s">
        <v>50</v>
      </c>
      <c r="C32" s="2">
        <v>1150</v>
      </c>
      <c r="D32" s="2">
        <v>50</v>
      </c>
      <c r="E32" s="3">
        <v>0.87686048999999999</v>
      </c>
      <c r="F32" s="4">
        <v>2450</v>
      </c>
      <c r="G32" s="4">
        <v>2450</v>
      </c>
      <c r="H32" s="4">
        <v>2448.1999999999998</v>
      </c>
      <c r="I32" s="4">
        <v>521.70775300000003</v>
      </c>
      <c r="J32" s="2">
        <v>1</v>
      </c>
      <c r="K32" s="4">
        <v>2450</v>
      </c>
      <c r="L32" s="4">
        <v>2448.8000000000002</v>
      </c>
      <c r="M32" s="4">
        <v>220.93390299999999</v>
      </c>
      <c r="N32" s="2">
        <v>4</v>
      </c>
      <c r="O32" s="4">
        <v>2450</v>
      </c>
      <c r="P32" s="4">
        <v>2449.6</v>
      </c>
      <c r="Q32" s="4">
        <v>213.93349599999999</v>
      </c>
      <c r="R32" s="2">
        <v>8</v>
      </c>
      <c r="S32" s="5">
        <v>2448</v>
      </c>
      <c r="T32" s="5">
        <v>2445.6</v>
      </c>
      <c r="U32" t="s">
        <v>25</v>
      </c>
      <c r="V32" s="2">
        <v>0</v>
      </c>
    </row>
    <row r="33" spans="1:22" x14ac:dyDescent="0.3">
      <c r="A33" t="s">
        <v>28</v>
      </c>
      <c r="B33" t="s">
        <v>51</v>
      </c>
      <c r="C33" s="2">
        <v>1150</v>
      </c>
      <c r="D33" s="2">
        <v>50</v>
      </c>
      <c r="E33" s="3">
        <v>0.87653232999999997</v>
      </c>
      <c r="F33" s="4">
        <v>2450</v>
      </c>
      <c r="G33" s="4">
        <v>2448</v>
      </c>
      <c r="H33" s="4">
        <v>2448</v>
      </c>
      <c r="I33" t="s">
        <v>25</v>
      </c>
      <c r="J33" s="2">
        <v>0</v>
      </c>
      <c r="K33" s="4">
        <v>2448</v>
      </c>
      <c r="L33" s="4">
        <v>2448</v>
      </c>
      <c r="M33" t="s">
        <v>25</v>
      </c>
      <c r="N33" s="2">
        <v>0</v>
      </c>
      <c r="O33" s="4">
        <v>2450</v>
      </c>
      <c r="P33" s="4">
        <v>2448.1999999999998</v>
      </c>
      <c r="Q33" s="4">
        <v>430.82032900000002</v>
      </c>
      <c r="R33" s="2">
        <v>1</v>
      </c>
      <c r="S33" s="5">
        <v>2446</v>
      </c>
      <c r="T33" s="5">
        <v>2443.6999999999998</v>
      </c>
      <c r="U33" t="s">
        <v>25</v>
      </c>
      <c r="V33" s="2">
        <v>0</v>
      </c>
    </row>
    <row r="34" spans="1:22" x14ac:dyDescent="0.3">
      <c r="A34" t="s">
        <v>28</v>
      </c>
      <c r="B34" t="s">
        <v>52</v>
      </c>
      <c r="C34" s="2">
        <v>1150</v>
      </c>
      <c r="D34" s="2">
        <v>50</v>
      </c>
      <c r="E34" s="3">
        <v>0.87775727999999997</v>
      </c>
      <c r="F34" s="4">
        <v>2450</v>
      </c>
      <c r="G34" s="4">
        <v>2450</v>
      </c>
      <c r="H34" s="4">
        <v>2450</v>
      </c>
      <c r="I34" s="4">
        <v>183.23673600000001</v>
      </c>
      <c r="J34" s="2">
        <v>10</v>
      </c>
      <c r="K34" s="4">
        <v>2450</v>
      </c>
      <c r="L34" s="4">
        <v>2450</v>
      </c>
      <c r="M34" s="4">
        <v>14.498532000000001</v>
      </c>
      <c r="N34" s="2">
        <v>10</v>
      </c>
      <c r="O34" s="4">
        <v>2450</v>
      </c>
      <c r="P34" s="4">
        <v>2450</v>
      </c>
      <c r="Q34" s="4">
        <v>4.6046490000000002</v>
      </c>
      <c r="R34" s="2">
        <v>10</v>
      </c>
      <c r="S34" s="5">
        <v>2446</v>
      </c>
      <c r="T34" s="5">
        <v>2444.1</v>
      </c>
      <c r="U34" t="s">
        <v>25</v>
      </c>
      <c r="V34" s="2">
        <v>0</v>
      </c>
    </row>
    <row r="35" spans="1:22" x14ac:dyDescent="0.3">
      <c r="A35" t="s">
        <v>28</v>
      </c>
      <c r="B35" t="s">
        <v>53</v>
      </c>
      <c r="C35" s="2">
        <v>1150</v>
      </c>
      <c r="D35" s="2">
        <v>50</v>
      </c>
      <c r="E35" s="3">
        <v>0.87809451999999988</v>
      </c>
      <c r="F35" s="4">
        <v>2450</v>
      </c>
      <c r="G35" s="4">
        <v>2450</v>
      </c>
      <c r="H35" s="4">
        <v>2449.1999999999998</v>
      </c>
      <c r="I35" s="4">
        <v>189.08609300000001</v>
      </c>
      <c r="J35" s="2">
        <v>6</v>
      </c>
      <c r="K35" s="4">
        <v>2450</v>
      </c>
      <c r="L35" s="4">
        <v>2450</v>
      </c>
      <c r="M35" s="4">
        <v>37.437756999999998</v>
      </c>
      <c r="N35" s="2">
        <v>10</v>
      </c>
      <c r="O35" s="4">
        <v>2450</v>
      </c>
      <c r="P35" s="4">
        <v>2450</v>
      </c>
      <c r="Q35" s="4">
        <v>15.471004000000001</v>
      </c>
      <c r="R35" s="2">
        <v>10</v>
      </c>
      <c r="S35" s="5">
        <v>2448</v>
      </c>
      <c r="T35" s="5">
        <v>2445.8000000000002</v>
      </c>
      <c r="U35" t="s">
        <v>25</v>
      </c>
      <c r="V35" s="2">
        <v>0</v>
      </c>
    </row>
    <row r="36" spans="1:22" x14ac:dyDescent="0.3">
      <c r="A36" t="s">
        <v>28</v>
      </c>
      <c r="B36" t="s">
        <v>54</v>
      </c>
      <c r="C36" s="2">
        <v>1272</v>
      </c>
      <c r="D36" s="2">
        <v>53</v>
      </c>
      <c r="E36" s="3">
        <v>0.88273926000000003</v>
      </c>
      <c r="F36" s="4">
        <v>2756</v>
      </c>
      <c r="G36" s="4">
        <v>2754</v>
      </c>
      <c r="H36" s="4">
        <v>2753.4</v>
      </c>
      <c r="I36" t="s">
        <v>25</v>
      </c>
      <c r="J36" s="2">
        <v>0</v>
      </c>
      <c r="K36" s="4">
        <v>2754</v>
      </c>
      <c r="L36" s="4">
        <v>2754</v>
      </c>
      <c r="M36" t="s">
        <v>25</v>
      </c>
      <c r="N36" s="2">
        <v>0</v>
      </c>
      <c r="O36" s="4">
        <v>2756</v>
      </c>
      <c r="P36" s="4">
        <v>2754.2</v>
      </c>
      <c r="Q36" s="4">
        <v>563.24539900000002</v>
      </c>
      <c r="R36" s="2">
        <v>1</v>
      </c>
      <c r="S36" s="5">
        <v>2752</v>
      </c>
      <c r="T36" s="5">
        <v>2749</v>
      </c>
      <c r="U36" t="s">
        <v>25</v>
      </c>
      <c r="V36" s="2">
        <v>0</v>
      </c>
    </row>
    <row r="37" spans="1:22" x14ac:dyDescent="0.3">
      <c r="A37" t="s">
        <v>28</v>
      </c>
      <c r="B37" t="s">
        <v>55</v>
      </c>
      <c r="C37" s="2">
        <v>1272</v>
      </c>
      <c r="D37" s="2">
        <v>53</v>
      </c>
      <c r="E37" s="3">
        <v>0.88266261999999995</v>
      </c>
      <c r="F37" s="4">
        <v>2756</v>
      </c>
      <c r="G37" s="4">
        <v>2756</v>
      </c>
      <c r="H37" s="4">
        <v>2754.2</v>
      </c>
      <c r="I37" s="4">
        <v>288.63327500000003</v>
      </c>
      <c r="J37" s="2">
        <v>1</v>
      </c>
      <c r="K37" s="4">
        <v>2756</v>
      </c>
      <c r="L37" s="4">
        <v>2754.8</v>
      </c>
      <c r="M37" s="4">
        <v>222.78624400000001</v>
      </c>
      <c r="N37" s="2">
        <v>4</v>
      </c>
      <c r="O37" s="4">
        <v>2756</v>
      </c>
      <c r="P37" s="4">
        <v>2754.2</v>
      </c>
      <c r="Q37" s="4">
        <v>43.706603999999999</v>
      </c>
      <c r="R37" s="2">
        <v>1</v>
      </c>
      <c r="S37" s="5">
        <v>2752</v>
      </c>
      <c r="T37" s="5">
        <v>2749.5</v>
      </c>
      <c r="U37" t="s">
        <v>25</v>
      </c>
      <c r="V37" s="2">
        <v>0</v>
      </c>
    </row>
    <row r="38" spans="1:22" x14ac:dyDescent="0.3">
      <c r="A38" t="s">
        <v>28</v>
      </c>
      <c r="B38" t="s">
        <v>56</v>
      </c>
      <c r="C38" s="2">
        <v>1272</v>
      </c>
      <c r="D38" s="2">
        <v>53</v>
      </c>
      <c r="E38" s="3">
        <v>0.88286286999999997</v>
      </c>
      <c r="F38" s="4">
        <v>2756</v>
      </c>
      <c r="G38" s="4">
        <v>2756</v>
      </c>
      <c r="H38" s="4">
        <v>2754</v>
      </c>
      <c r="I38" s="4">
        <v>386.79625900000002</v>
      </c>
      <c r="J38" s="2">
        <v>1</v>
      </c>
      <c r="K38" s="4">
        <v>2756</v>
      </c>
      <c r="L38" s="4">
        <v>2755</v>
      </c>
      <c r="M38" s="4">
        <v>295.40524599999998</v>
      </c>
      <c r="N38" s="2">
        <v>5</v>
      </c>
      <c r="O38" s="4">
        <v>2756</v>
      </c>
      <c r="P38" s="4">
        <v>2755.6</v>
      </c>
      <c r="Q38" s="4">
        <v>185.04445200000001</v>
      </c>
      <c r="R38" s="2">
        <v>8</v>
      </c>
      <c r="S38" s="5">
        <v>2752</v>
      </c>
      <c r="T38" s="5">
        <v>2749.4</v>
      </c>
      <c r="U38" t="s">
        <v>25</v>
      </c>
      <c r="V38" s="2">
        <v>0</v>
      </c>
    </row>
    <row r="39" spans="1:22" x14ac:dyDescent="0.3">
      <c r="A39" t="s">
        <v>28</v>
      </c>
      <c r="B39" t="s">
        <v>57</v>
      </c>
      <c r="C39" s="2">
        <v>1272</v>
      </c>
      <c r="D39" s="2">
        <v>53</v>
      </c>
      <c r="E39" s="3">
        <v>0.88263913999999999</v>
      </c>
      <c r="F39" s="4">
        <v>2756</v>
      </c>
      <c r="G39" s="4">
        <v>2756</v>
      </c>
      <c r="H39" s="4">
        <v>2753</v>
      </c>
      <c r="I39" s="4">
        <v>80.884321999999997</v>
      </c>
      <c r="J39" s="2">
        <v>1</v>
      </c>
      <c r="K39" s="4">
        <v>2756</v>
      </c>
      <c r="L39" s="4">
        <v>2755</v>
      </c>
      <c r="M39" s="4">
        <v>254.309166</v>
      </c>
      <c r="N39" s="2">
        <v>5</v>
      </c>
      <c r="O39" s="4">
        <v>2756</v>
      </c>
      <c r="P39" s="4">
        <v>2755.2</v>
      </c>
      <c r="Q39" s="4">
        <v>218.40082000000001</v>
      </c>
      <c r="R39" s="2">
        <v>6</v>
      </c>
      <c r="S39" s="5">
        <v>2752</v>
      </c>
      <c r="T39" s="5">
        <v>2750.5</v>
      </c>
      <c r="U39" t="s">
        <v>25</v>
      </c>
      <c r="V39" s="2">
        <v>0</v>
      </c>
    </row>
    <row r="40" spans="1:22" x14ac:dyDescent="0.3">
      <c r="A40" t="s">
        <v>28</v>
      </c>
      <c r="B40" t="s">
        <v>58</v>
      </c>
      <c r="C40" s="2">
        <v>1272</v>
      </c>
      <c r="D40" s="2">
        <v>53</v>
      </c>
      <c r="E40" s="3">
        <v>0.88274050000000004</v>
      </c>
      <c r="F40" s="4">
        <v>2756</v>
      </c>
      <c r="G40" s="4">
        <v>2756</v>
      </c>
      <c r="H40" s="4">
        <v>2753.8</v>
      </c>
      <c r="I40" s="4">
        <v>249.97275400000001</v>
      </c>
      <c r="J40" s="2">
        <v>2</v>
      </c>
      <c r="K40" s="4">
        <v>2756</v>
      </c>
      <c r="L40" s="4">
        <v>2755.6</v>
      </c>
      <c r="M40" s="4">
        <v>148.200965</v>
      </c>
      <c r="N40" s="2">
        <v>8</v>
      </c>
      <c r="O40" s="4">
        <v>2756</v>
      </c>
      <c r="P40" s="4">
        <v>2756</v>
      </c>
      <c r="Q40" s="4">
        <v>93.165217999999996</v>
      </c>
      <c r="R40" s="2">
        <v>10</v>
      </c>
      <c r="S40" s="5">
        <v>2752</v>
      </c>
      <c r="T40" s="5">
        <v>2749.9</v>
      </c>
      <c r="U40" t="s">
        <v>25</v>
      </c>
      <c r="V40" s="2">
        <v>0</v>
      </c>
    </row>
    <row r="41" spans="1:22" x14ac:dyDescent="0.3">
      <c r="A41" t="s">
        <v>28</v>
      </c>
      <c r="B41" t="s">
        <v>59</v>
      </c>
      <c r="C41" s="2">
        <v>1534</v>
      </c>
      <c r="D41" s="2">
        <v>59</v>
      </c>
      <c r="E41" s="3">
        <v>0.89178617999999998</v>
      </c>
      <c r="F41" s="4">
        <v>3422</v>
      </c>
      <c r="G41" s="4">
        <v>3420</v>
      </c>
      <c r="H41" s="4">
        <v>3418.6</v>
      </c>
      <c r="I41" t="s">
        <v>25</v>
      </c>
      <c r="J41" s="2">
        <v>0</v>
      </c>
      <c r="K41" s="4">
        <v>3420</v>
      </c>
      <c r="L41" s="4">
        <v>3420</v>
      </c>
      <c r="M41" t="s">
        <v>25</v>
      </c>
      <c r="N41" s="2">
        <v>0</v>
      </c>
      <c r="O41" s="4">
        <v>3420</v>
      </c>
      <c r="P41" s="4">
        <v>3420</v>
      </c>
      <c r="Q41" t="s">
        <v>25</v>
      </c>
      <c r="R41" s="2">
        <v>0</v>
      </c>
      <c r="S41" s="5">
        <v>3418</v>
      </c>
      <c r="T41" s="5">
        <v>3410.3</v>
      </c>
      <c r="U41" t="s">
        <v>25</v>
      </c>
      <c r="V41" s="2">
        <v>0</v>
      </c>
    </row>
    <row r="42" spans="1:22" x14ac:dyDescent="0.3">
      <c r="A42" t="s">
        <v>28</v>
      </c>
      <c r="B42" t="s">
        <v>60</v>
      </c>
      <c r="C42" s="2">
        <v>1534</v>
      </c>
      <c r="D42" s="2">
        <v>59</v>
      </c>
      <c r="E42" s="3">
        <v>0.89211934999999998</v>
      </c>
      <c r="F42" s="4">
        <v>3422</v>
      </c>
      <c r="G42" s="4">
        <v>3420</v>
      </c>
      <c r="H42" s="4">
        <v>3418.8</v>
      </c>
      <c r="I42" t="s">
        <v>25</v>
      </c>
      <c r="J42" s="2">
        <v>0</v>
      </c>
      <c r="K42" s="4">
        <v>3420</v>
      </c>
      <c r="L42" s="4">
        <v>3419.4</v>
      </c>
      <c r="M42" t="s">
        <v>25</v>
      </c>
      <c r="N42" s="2">
        <v>0</v>
      </c>
      <c r="O42" s="4">
        <v>3420</v>
      </c>
      <c r="P42" s="4">
        <v>3420</v>
      </c>
      <c r="Q42" t="s">
        <v>25</v>
      </c>
      <c r="R42" s="2">
        <v>0</v>
      </c>
      <c r="S42" s="5">
        <v>3416</v>
      </c>
      <c r="T42" s="5">
        <v>3410.9</v>
      </c>
      <c r="U42" t="s">
        <v>25</v>
      </c>
      <c r="V42" s="2">
        <v>0</v>
      </c>
    </row>
    <row r="43" spans="1:22" x14ac:dyDescent="0.3">
      <c r="A43" t="s">
        <v>28</v>
      </c>
      <c r="B43" t="s">
        <v>61</v>
      </c>
      <c r="C43" s="2">
        <v>1534</v>
      </c>
      <c r="D43" s="2">
        <v>59</v>
      </c>
      <c r="E43" s="3">
        <v>0.89218818999999994</v>
      </c>
      <c r="F43" s="4">
        <v>3422</v>
      </c>
      <c r="G43" s="4">
        <v>3420</v>
      </c>
      <c r="H43" s="4">
        <v>3419</v>
      </c>
      <c r="I43" t="s">
        <v>25</v>
      </c>
      <c r="J43" s="2">
        <v>0</v>
      </c>
      <c r="K43" s="4">
        <v>3422</v>
      </c>
      <c r="L43" s="4">
        <v>3419.6</v>
      </c>
      <c r="M43" s="4">
        <v>511.95435400000002</v>
      </c>
      <c r="N43" s="2">
        <v>1</v>
      </c>
      <c r="O43" s="4">
        <v>3422</v>
      </c>
      <c r="P43" s="4">
        <v>3420</v>
      </c>
      <c r="Q43" s="4">
        <v>23.597275</v>
      </c>
      <c r="R43" s="2">
        <v>1</v>
      </c>
      <c r="S43" s="5">
        <v>3417</v>
      </c>
      <c r="T43" s="5">
        <v>3407.1</v>
      </c>
      <c r="U43" t="s">
        <v>25</v>
      </c>
      <c r="V43" s="2">
        <v>0</v>
      </c>
    </row>
    <row r="44" spans="1:22" x14ac:dyDescent="0.3">
      <c r="A44" t="s">
        <v>28</v>
      </c>
      <c r="B44" t="s">
        <v>62</v>
      </c>
      <c r="C44" s="2">
        <v>1534</v>
      </c>
      <c r="D44" s="2">
        <v>59</v>
      </c>
      <c r="E44" s="3">
        <v>0.89139861999999992</v>
      </c>
      <c r="F44" s="4">
        <v>3422</v>
      </c>
      <c r="G44" s="4">
        <v>3420</v>
      </c>
      <c r="H44" s="4">
        <v>3418.8</v>
      </c>
      <c r="I44" t="s">
        <v>25</v>
      </c>
      <c r="J44" s="2">
        <v>0</v>
      </c>
      <c r="K44" s="4">
        <v>3420</v>
      </c>
      <c r="L44" s="4">
        <v>3419.6</v>
      </c>
      <c r="M44" t="s">
        <v>25</v>
      </c>
      <c r="N44" s="2">
        <v>0</v>
      </c>
      <c r="O44" s="4">
        <v>3422</v>
      </c>
      <c r="P44" s="4">
        <v>3420.6</v>
      </c>
      <c r="Q44" s="4">
        <v>428.48749900000001</v>
      </c>
      <c r="R44" s="2">
        <v>3</v>
      </c>
      <c r="S44" s="5">
        <v>3417</v>
      </c>
      <c r="T44" s="5">
        <v>3408.9</v>
      </c>
      <c r="U44" t="s">
        <v>25</v>
      </c>
      <c r="V44" s="2">
        <v>0</v>
      </c>
    </row>
    <row r="45" spans="1:22" x14ac:dyDescent="0.3">
      <c r="A45" t="s">
        <v>28</v>
      </c>
      <c r="B45" t="s">
        <v>63</v>
      </c>
      <c r="C45" s="2">
        <v>1534</v>
      </c>
      <c r="D45" s="2">
        <v>59</v>
      </c>
      <c r="E45" s="3">
        <v>0.89227318999999994</v>
      </c>
      <c r="F45" s="4">
        <v>3422</v>
      </c>
      <c r="G45" s="4">
        <v>3422</v>
      </c>
      <c r="H45" s="4">
        <v>3419.6</v>
      </c>
      <c r="I45" s="4">
        <v>291.14867800000002</v>
      </c>
      <c r="J45" s="2">
        <v>3</v>
      </c>
      <c r="K45" s="4">
        <v>3422</v>
      </c>
      <c r="L45" s="4">
        <v>3422</v>
      </c>
      <c r="M45" s="4">
        <v>74.432890999999998</v>
      </c>
      <c r="N45" s="2">
        <v>10</v>
      </c>
      <c r="O45" s="4">
        <v>3422</v>
      </c>
      <c r="P45" s="4">
        <v>3422</v>
      </c>
      <c r="Q45" s="4">
        <v>37.563054999999999</v>
      </c>
      <c r="R45" s="2">
        <v>10</v>
      </c>
      <c r="S45" s="5">
        <v>3422</v>
      </c>
      <c r="T45" s="5">
        <v>3413.8</v>
      </c>
      <c r="U45">
        <v>263.26908500000002</v>
      </c>
      <c r="V45" s="2">
        <v>1</v>
      </c>
    </row>
    <row r="46" spans="1:22" x14ac:dyDescent="0.3">
      <c r="A46" t="s">
        <v>28</v>
      </c>
      <c r="B46" t="s">
        <v>64</v>
      </c>
      <c r="C46" s="2">
        <v>4000</v>
      </c>
      <c r="D46" s="2">
        <v>98</v>
      </c>
      <c r="E46" s="3">
        <v>0.92815325000000004</v>
      </c>
      <c r="F46" s="4">
        <v>9506</v>
      </c>
      <c r="G46" s="4">
        <v>9500</v>
      </c>
      <c r="H46" s="4">
        <v>9498</v>
      </c>
      <c r="I46" t="s">
        <v>25</v>
      </c>
      <c r="J46" s="2">
        <v>0</v>
      </c>
      <c r="K46" s="4">
        <v>9502</v>
      </c>
      <c r="L46" s="4">
        <v>9500.2000000000007</v>
      </c>
      <c r="M46" t="s">
        <v>25</v>
      </c>
      <c r="N46" s="2">
        <v>0</v>
      </c>
      <c r="O46" s="4">
        <v>9500</v>
      </c>
      <c r="P46" s="4">
        <v>9499.6</v>
      </c>
      <c r="Q46" t="s">
        <v>25</v>
      </c>
      <c r="R46" s="2">
        <v>0</v>
      </c>
      <c r="S46" s="5">
        <v>9458</v>
      </c>
      <c r="T46" s="5">
        <v>9451.4</v>
      </c>
      <c r="U46" t="s">
        <v>25</v>
      </c>
      <c r="V46" s="2">
        <v>0</v>
      </c>
    </row>
    <row r="47" spans="1:22" x14ac:dyDescent="0.3">
      <c r="A47" s="7" t="s">
        <v>361</v>
      </c>
      <c r="B47" s="7"/>
      <c r="C47" s="8"/>
      <c r="D47" s="8"/>
      <c r="E47" s="9"/>
      <c r="F47" s="10"/>
      <c r="G47" s="11">
        <f t="array" ref="G47">AVERAGE((F11:F46-G11:G46)/F11:F46)</f>
        <v>1.2530584406935885E-4</v>
      </c>
      <c r="H47" s="11">
        <f t="array" ref="H47">AVERAGE((F11:F46-H11:H46)/F11:F46)</f>
        <v>3.7854272261385243E-4</v>
      </c>
      <c r="I47" s="7"/>
      <c r="J47" s="8">
        <f>SUM(J11:J46)</f>
        <v>213</v>
      </c>
      <c r="K47" s="11">
        <f t="array" ref="K47">AVERAGE((F11:F46-K11:K46)/F11:F46)</f>
        <v>1.0322676152300614E-4</v>
      </c>
      <c r="L47" s="11">
        <f t="array" ref="L47">AVERAGE((F11:F46-L11:L46)/F11:F46)</f>
        <v>2.0065767165555585E-4</v>
      </c>
      <c r="M47" s="7"/>
      <c r="N47" s="8">
        <f>SUM(N11:N46)</f>
        <v>261</v>
      </c>
      <c r="O47" s="11">
        <f t="array" ref="O47">AVERAGE((F11:F46-O11:O46)/F11:F46)</f>
        <v>5.0002427196172249E-5</v>
      </c>
      <c r="P47" s="11">
        <f t="array" ref="P47">AVERAGE((F11:F46-P11:P46)/F11:F46)</f>
        <v>1.5436065238583281E-4</v>
      </c>
      <c r="Q47" s="7"/>
      <c r="R47" s="8">
        <f>SUM(R11:R46)</f>
        <v>278</v>
      </c>
      <c r="S47" s="11">
        <f t="array" ref="S47">AVERAGE((F11:F46-S11:S46)/F11:F46)</f>
        <v>9.7009804575672964E-4</v>
      </c>
      <c r="T47" s="11">
        <f t="array" ref="T47">AVERAGE((F11:F46-T11:T46)/F11:F46)</f>
        <v>1.7532014171094778E-3</v>
      </c>
      <c r="U47" s="7"/>
      <c r="V47" s="8">
        <f>SUM(V11:V46)</f>
        <v>89</v>
      </c>
    </row>
    <row r="48" spans="1:22" x14ac:dyDescent="0.3">
      <c r="A48" t="s">
        <v>65</v>
      </c>
      <c r="B48" t="s">
        <v>66</v>
      </c>
      <c r="C48" s="2">
        <v>200</v>
      </c>
      <c r="D48" s="2">
        <v>12</v>
      </c>
      <c r="E48" s="3">
        <v>0.49380000000000002</v>
      </c>
      <c r="F48" s="4">
        <v>132</v>
      </c>
      <c r="G48" s="4">
        <v>132</v>
      </c>
      <c r="H48" s="4">
        <v>132</v>
      </c>
      <c r="I48" s="4">
        <v>10.375011000000001</v>
      </c>
      <c r="J48" s="2">
        <v>10</v>
      </c>
      <c r="K48" s="4">
        <v>132</v>
      </c>
      <c r="L48" s="4">
        <v>132</v>
      </c>
      <c r="M48" s="4">
        <v>0.919207</v>
      </c>
      <c r="N48" s="2">
        <v>10</v>
      </c>
      <c r="O48" s="4">
        <v>132</v>
      </c>
      <c r="P48" s="4">
        <v>132</v>
      </c>
      <c r="Q48" s="4">
        <v>0.56514399999999998</v>
      </c>
      <c r="R48" s="2">
        <v>10</v>
      </c>
      <c r="S48" s="2">
        <v>132</v>
      </c>
      <c r="T48" s="2">
        <v>131.19999999999999</v>
      </c>
      <c r="U48">
        <v>30.119996</v>
      </c>
      <c r="V48" s="2">
        <v>2</v>
      </c>
    </row>
    <row r="49" spans="1:22" x14ac:dyDescent="0.3">
      <c r="A49" t="s">
        <v>65</v>
      </c>
      <c r="B49" t="s">
        <v>67</v>
      </c>
      <c r="C49" s="2">
        <v>200</v>
      </c>
      <c r="D49" s="2">
        <v>17</v>
      </c>
      <c r="E49" s="3">
        <v>0.65444999999999998</v>
      </c>
      <c r="F49" s="4">
        <v>272</v>
      </c>
      <c r="G49" s="4">
        <v>272</v>
      </c>
      <c r="H49" s="4">
        <v>272</v>
      </c>
      <c r="I49" s="4">
        <v>22.414677000000001</v>
      </c>
      <c r="J49" s="2">
        <v>10</v>
      </c>
      <c r="K49" s="4">
        <v>272</v>
      </c>
      <c r="L49" s="4">
        <v>272</v>
      </c>
      <c r="M49" s="4">
        <v>2.7592050000000001</v>
      </c>
      <c r="N49" s="2">
        <v>10</v>
      </c>
      <c r="O49" s="4">
        <v>272</v>
      </c>
      <c r="P49" s="4">
        <v>272</v>
      </c>
      <c r="Q49" s="4">
        <v>2.1619519999999999</v>
      </c>
      <c r="R49" s="2">
        <v>10</v>
      </c>
      <c r="S49" s="2">
        <v>271</v>
      </c>
      <c r="T49" s="2">
        <v>271</v>
      </c>
      <c r="U49" t="s">
        <v>25</v>
      </c>
      <c r="V49" s="2">
        <v>0</v>
      </c>
    </row>
    <row r="50" spans="1:22" x14ac:dyDescent="0.3">
      <c r="A50" t="s">
        <v>65</v>
      </c>
      <c r="B50" t="s">
        <v>68</v>
      </c>
      <c r="C50" s="2">
        <v>400</v>
      </c>
      <c r="D50" s="2">
        <v>29</v>
      </c>
      <c r="E50" s="3">
        <v>0.74732500000000002</v>
      </c>
      <c r="F50" s="4">
        <v>812</v>
      </c>
      <c r="G50" s="4">
        <v>800</v>
      </c>
      <c r="H50" s="4">
        <v>800</v>
      </c>
      <c r="I50" t="s">
        <v>25</v>
      </c>
      <c r="J50" s="2">
        <v>0</v>
      </c>
      <c r="K50" s="4">
        <v>812</v>
      </c>
      <c r="L50" s="4">
        <v>802.4</v>
      </c>
      <c r="M50" s="4">
        <v>103.72405500000001</v>
      </c>
      <c r="N50" s="2">
        <v>2</v>
      </c>
      <c r="O50" s="4">
        <v>812</v>
      </c>
      <c r="P50" s="4">
        <v>802.4</v>
      </c>
      <c r="Q50" s="4">
        <v>222.07184899999999</v>
      </c>
      <c r="R50" s="2">
        <v>2</v>
      </c>
      <c r="S50" s="2">
        <v>806</v>
      </c>
      <c r="T50" s="2">
        <v>800.6</v>
      </c>
      <c r="U50" t="s">
        <v>25</v>
      </c>
      <c r="V50" s="2">
        <v>0</v>
      </c>
    </row>
    <row r="51" spans="1:22" x14ac:dyDescent="0.3">
      <c r="A51" t="s">
        <v>65</v>
      </c>
      <c r="B51" t="s">
        <v>69</v>
      </c>
      <c r="C51" s="2">
        <v>400</v>
      </c>
      <c r="D51" s="2">
        <v>33</v>
      </c>
      <c r="E51" s="3">
        <v>0.74706249999999996</v>
      </c>
      <c r="F51" s="4">
        <v>1056</v>
      </c>
      <c r="G51" s="4">
        <v>1056</v>
      </c>
      <c r="H51" s="4">
        <v>1032</v>
      </c>
      <c r="I51" s="4">
        <v>518.42905800000005</v>
      </c>
      <c r="J51" s="2">
        <v>2</v>
      </c>
      <c r="K51" s="4">
        <v>1056</v>
      </c>
      <c r="L51" s="4">
        <v>1053</v>
      </c>
      <c r="M51" s="4">
        <v>214.370848</v>
      </c>
      <c r="N51" s="2">
        <v>9</v>
      </c>
      <c r="O51" s="4">
        <v>1056</v>
      </c>
      <c r="P51" s="4">
        <v>1056</v>
      </c>
      <c r="Q51" s="4">
        <v>150.74756600000001</v>
      </c>
      <c r="R51" s="2">
        <v>10</v>
      </c>
      <c r="S51" s="2">
        <v>1040</v>
      </c>
      <c r="T51" s="2">
        <v>1027.4000000000001</v>
      </c>
      <c r="U51" t="s">
        <v>25</v>
      </c>
      <c r="V51" s="2">
        <v>0</v>
      </c>
    </row>
    <row r="52" spans="1:22" x14ac:dyDescent="0.3">
      <c r="A52" t="s">
        <v>65</v>
      </c>
      <c r="B52" t="s">
        <v>70</v>
      </c>
      <c r="C52" s="2">
        <v>800</v>
      </c>
      <c r="D52" s="2">
        <v>24</v>
      </c>
      <c r="E52" s="3">
        <v>0.65051874999999992</v>
      </c>
      <c r="F52" s="4">
        <v>552</v>
      </c>
      <c r="G52" s="4">
        <v>544</v>
      </c>
      <c r="H52" s="4">
        <v>544</v>
      </c>
      <c r="I52" t="s">
        <v>25</v>
      </c>
      <c r="J52" s="2">
        <v>0</v>
      </c>
      <c r="K52" s="4">
        <v>544</v>
      </c>
      <c r="L52" s="4">
        <v>544</v>
      </c>
      <c r="M52" t="s">
        <v>25</v>
      </c>
      <c r="N52" s="2">
        <v>0</v>
      </c>
      <c r="O52" s="4">
        <v>544</v>
      </c>
      <c r="P52" s="4">
        <v>544</v>
      </c>
      <c r="Q52" t="s">
        <v>25</v>
      </c>
      <c r="R52" s="2">
        <v>0</v>
      </c>
      <c r="S52" s="2">
        <v>544</v>
      </c>
      <c r="T52" s="2">
        <v>544</v>
      </c>
      <c r="U52" t="s">
        <v>25</v>
      </c>
      <c r="V52" s="2">
        <v>0</v>
      </c>
    </row>
    <row r="53" spans="1:22" x14ac:dyDescent="0.3">
      <c r="A53" t="s">
        <v>65</v>
      </c>
      <c r="B53" t="s">
        <v>71</v>
      </c>
      <c r="C53" s="2">
        <v>800</v>
      </c>
      <c r="D53" s="2">
        <v>26</v>
      </c>
      <c r="E53" s="3">
        <v>0.64888436999999999</v>
      </c>
      <c r="F53" s="4">
        <v>650</v>
      </c>
      <c r="G53" s="4">
        <v>634</v>
      </c>
      <c r="H53" s="4">
        <v>634</v>
      </c>
      <c r="I53" t="s">
        <v>25</v>
      </c>
      <c r="J53" s="2">
        <v>0</v>
      </c>
      <c r="K53" s="4">
        <v>634</v>
      </c>
      <c r="L53" s="4">
        <v>634</v>
      </c>
      <c r="M53" t="s">
        <v>25</v>
      </c>
      <c r="N53" s="2">
        <v>0</v>
      </c>
      <c r="O53" s="4">
        <v>634</v>
      </c>
      <c r="P53" s="4">
        <v>634</v>
      </c>
      <c r="Q53" t="s">
        <v>25</v>
      </c>
      <c r="R53" s="2">
        <v>0</v>
      </c>
      <c r="S53" s="2">
        <v>634</v>
      </c>
      <c r="T53" s="2">
        <v>634</v>
      </c>
      <c r="U53" t="s">
        <v>25</v>
      </c>
      <c r="V53" s="2">
        <v>0</v>
      </c>
    </row>
    <row r="54" spans="1:22" x14ac:dyDescent="0.3">
      <c r="A54" t="s">
        <v>65</v>
      </c>
      <c r="B54" t="s">
        <v>72</v>
      </c>
      <c r="C54" s="2">
        <v>125</v>
      </c>
      <c r="D54" s="2">
        <v>34</v>
      </c>
      <c r="E54" s="3">
        <v>0.89126400000000006</v>
      </c>
      <c r="F54" s="4">
        <v>1122</v>
      </c>
      <c r="G54" s="4">
        <v>1122</v>
      </c>
      <c r="H54" s="4">
        <v>1122</v>
      </c>
      <c r="I54" s="4">
        <v>3.3799999999999998E-4</v>
      </c>
      <c r="J54" s="2">
        <v>10</v>
      </c>
      <c r="K54" s="4">
        <v>1122</v>
      </c>
      <c r="L54" s="4">
        <v>1122</v>
      </c>
      <c r="M54" s="4">
        <v>5.5400000000000002E-4</v>
      </c>
      <c r="N54" s="2">
        <v>10</v>
      </c>
      <c r="O54" s="4">
        <v>1122</v>
      </c>
      <c r="P54" s="4">
        <v>1122</v>
      </c>
      <c r="Q54" s="4">
        <v>5.1599999999999997E-4</v>
      </c>
      <c r="R54" s="2">
        <v>10</v>
      </c>
      <c r="S54" s="2">
        <v>1122</v>
      </c>
      <c r="T54" s="2">
        <v>1122</v>
      </c>
      <c r="U54">
        <v>4.177543</v>
      </c>
      <c r="V54" s="2">
        <v>10</v>
      </c>
    </row>
    <row r="55" spans="1:22" x14ac:dyDescent="0.3">
      <c r="A55" t="s">
        <v>65</v>
      </c>
      <c r="B55" t="s">
        <v>73</v>
      </c>
      <c r="C55" s="2">
        <v>250</v>
      </c>
      <c r="D55" s="2">
        <v>44</v>
      </c>
      <c r="E55" s="3">
        <v>0.89548799999999995</v>
      </c>
      <c r="F55" s="4">
        <v>1892</v>
      </c>
      <c r="G55" s="4">
        <v>1892</v>
      </c>
      <c r="H55" s="4">
        <v>1892</v>
      </c>
      <c r="I55" s="4">
        <v>1.5506000000000001E-2</v>
      </c>
      <c r="J55" s="2">
        <v>10</v>
      </c>
      <c r="K55" s="4">
        <v>1892</v>
      </c>
      <c r="L55" s="4">
        <v>1892</v>
      </c>
      <c r="M55" s="4">
        <v>6.0809999999999996E-3</v>
      </c>
      <c r="N55" s="2">
        <v>10</v>
      </c>
      <c r="O55" s="4">
        <v>1892</v>
      </c>
      <c r="P55" s="4">
        <v>1892</v>
      </c>
      <c r="Q55" s="4">
        <v>5.3270000000000001E-3</v>
      </c>
      <c r="R55" s="2">
        <v>10</v>
      </c>
      <c r="S55" s="2">
        <v>1892</v>
      </c>
      <c r="T55" s="2">
        <v>1892</v>
      </c>
      <c r="U55">
        <v>10.230743</v>
      </c>
      <c r="V55" s="2">
        <v>10</v>
      </c>
    </row>
    <row r="56" spans="1:22" x14ac:dyDescent="0.3">
      <c r="A56" t="s">
        <v>65</v>
      </c>
      <c r="B56" t="s">
        <v>74</v>
      </c>
      <c r="C56" s="2">
        <v>500</v>
      </c>
      <c r="D56" s="2">
        <v>57</v>
      </c>
      <c r="E56" s="3">
        <v>0.89865600000000001</v>
      </c>
      <c r="F56" s="4">
        <v>3192</v>
      </c>
      <c r="G56" s="4">
        <v>3192</v>
      </c>
      <c r="H56" s="4">
        <v>3192</v>
      </c>
      <c r="I56" s="4">
        <v>0.56299999999999994</v>
      </c>
      <c r="J56" s="2">
        <v>10</v>
      </c>
      <c r="K56" s="4">
        <v>3192</v>
      </c>
      <c r="L56" s="4">
        <v>3192</v>
      </c>
      <c r="M56" s="4">
        <v>8.0601000000000006E-2</v>
      </c>
      <c r="N56" s="2">
        <v>10</v>
      </c>
      <c r="O56" s="4">
        <v>3192</v>
      </c>
      <c r="P56" s="4">
        <v>3192</v>
      </c>
      <c r="Q56" s="4">
        <v>6.3683000000000003E-2</v>
      </c>
      <c r="R56" s="2">
        <v>10</v>
      </c>
      <c r="S56" s="2">
        <v>3192</v>
      </c>
      <c r="T56" s="2">
        <v>3192</v>
      </c>
      <c r="U56">
        <v>251.47992600000001</v>
      </c>
      <c r="V56" s="2">
        <v>10</v>
      </c>
    </row>
    <row r="57" spans="1:22" x14ac:dyDescent="0.3">
      <c r="A57" t="s">
        <v>65</v>
      </c>
      <c r="B57" t="s">
        <v>75</v>
      </c>
      <c r="C57" s="2">
        <v>1000</v>
      </c>
      <c r="D57" s="2">
        <v>68</v>
      </c>
      <c r="E57" s="3">
        <v>0.90015800000000001</v>
      </c>
      <c r="F57" s="4">
        <v>4556</v>
      </c>
      <c r="G57" s="4">
        <v>4556</v>
      </c>
      <c r="H57" s="4">
        <v>4556</v>
      </c>
      <c r="I57" s="4">
        <v>6.876169</v>
      </c>
      <c r="J57" s="2">
        <v>10</v>
      </c>
      <c r="K57" s="4">
        <v>4556</v>
      </c>
      <c r="L57" s="4">
        <v>4556</v>
      </c>
      <c r="M57" s="4">
        <v>0.73396700000000004</v>
      </c>
      <c r="N57" s="2">
        <v>10</v>
      </c>
      <c r="O57" s="4">
        <v>4556</v>
      </c>
      <c r="P57" s="4">
        <v>4556</v>
      </c>
      <c r="Q57" s="4">
        <v>0.47538799999999998</v>
      </c>
      <c r="R57" s="2">
        <v>10</v>
      </c>
      <c r="S57" s="2">
        <v>4556</v>
      </c>
      <c r="T57" s="2">
        <v>4554</v>
      </c>
      <c r="U57">
        <v>239.110795</v>
      </c>
      <c r="V57" s="2">
        <v>3</v>
      </c>
    </row>
    <row r="58" spans="1:22" x14ac:dyDescent="0.3">
      <c r="A58" t="s">
        <v>65</v>
      </c>
      <c r="B58" t="s">
        <v>76</v>
      </c>
      <c r="C58" s="2">
        <v>2000</v>
      </c>
      <c r="D58" s="2">
        <v>16</v>
      </c>
      <c r="E58" s="3">
        <v>0.49991799999999997</v>
      </c>
      <c r="F58" s="4">
        <v>240</v>
      </c>
      <c r="G58" s="4">
        <v>240</v>
      </c>
      <c r="H58" s="4">
        <v>240</v>
      </c>
      <c r="I58" s="4">
        <v>4.2561359999999997</v>
      </c>
      <c r="J58" s="2">
        <v>10</v>
      </c>
      <c r="K58" s="4">
        <v>240</v>
      </c>
      <c r="L58" s="4">
        <v>240</v>
      </c>
      <c r="M58" s="4">
        <v>0.56188099999999996</v>
      </c>
      <c r="N58" s="2">
        <v>10</v>
      </c>
      <c r="O58" s="4">
        <v>240</v>
      </c>
      <c r="P58" s="4">
        <v>240</v>
      </c>
      <c r="Q58" s="4">
        <v>0.37534200000000001</v>
      </c>
      <c r="R58" s="2">
        <v>10</v>
      </c>
      <c r="S58" s="2">
        <v>240</v>
      </c>
      <c r="T58" s="2">
        <v>239.5</v>
      </c>
      <c r="U58">
        <v>284.61589500000002</v>
      </c>
      <c r="V58" s="2">
        <v>5</v>
      </c>
    </row>
    <row r="59" spans="1:22" x14ac:dyDescent="0.3">
      <c r="A59" t="s">
        <v>65</v>
      </c>
      <c r="B59" t="s">
        <v>77</v>
      </c>
      <c r="C59" s="2">
        <v>2000</v>
      </c>
      <c r="D59" s="2">
        <v>80</v>
      </c>
      <c r="E59" s="3">
        <v>0.89976600000000007</v>
      </c>
      <c r="F59" s="4">
        <v>6320</v>
      </c>
      <c r="G59" s="4">
        <v>6316</v>
      </c>
      <c r="H59" s="4">
        <v>6316</v>
      </c>
      <c r="I59" t="s">
        <v>25</v>
      </c>
      <c r="J59" s="2">
        <v>0</v>
      </c>
      <c r="K59" s="4">
        <v>6318</v>
      </c>
      <c r="L59" s="4">
        <v>6317.6</v>
      </c>
      <c r="M59" t="s">
        <v>25</v>
      </c>
      <c r="N59" s="2">
        <v>0</v>
      </c>
      <c r="O59" s="4">
        <v>6318</v>
      </c>
      <c r="P59" s="4">
        <v>6317.2</v>
      </c>
      <c r="Q59" t="s">
        <v>25</v>
      </c>
      <c r="R59" s="2">
        <v>0</v>
      </c>
      <c r="S59" s="2">
        <v>6312</v>
      </c>
      <c r="T59" s="2">
        <v>6294.6</v>
      </c>
      <c r="U59" t="s">
        <v>25</v>
      </c>
      <c r="V59" s="2">
        <v>0</v>
      </c>
    </row>
    <row r="60" spans="1:22" x14ac:dyDescent="0.3">
      <c r="A60" t="s">
        <v>65</v>
      </c>
      <c r="B60" t="s">
        <v>78</v>
      </c>
      <c r="C60" s="2">
        <v>4000</v>
      </c>
      <c r="D60" s="2">
        <v>18</v>
      </c>
      <c r="E60" s="3">
        <v>0.50003350000000002</v>
      </c>
      <c r="F60" s="4">
        <v>306</v>
      </c>
      <c r="G60" s="4">
        <v>306</v>
      </c>
      <c r="H60" s="4">
        <v>304.60000000000002</v>
      </c>
      <c r="I60" s="4">
        <v>419.91749199999998</v>
      </c>
      <c r="J60" s="2">
        <v>3</v>
      </c>
      <c r="K60" s="4">
        <v>306</v>
      </c>
      <c r="L60" s="4">
        <v>305.39999999999998</v>
      </c>
      <c r="M60" s="4">
        <v>262.89339699999999</v>
      </c>
      <c r="N60" s="2">
        <v>7</v>
      </c>
      <c r="O60" s="4">
        <v>306</v>
      </c>
      <c r="P60" s="4">
        <v>306</v>
      </c>
      <c r="Q60" s="4">
        <v>159.50850700000001</v>
      </c>
      <c r="R60" s="2">
        <v>10</v>
      </c>
      <c r="S60" s="2">
        <v>303</v>
      </c>
      <c r="T60" s="2">
        <v>294.2</v>
      </c>
      <c r="U60" t="s">
        <v>25</v>
      </c>
      <c r="V60" s="2">
        <v>0</v>
      </c>
    </row>
    <row r="61" spans="1:22" x14ac:dyDescent="0.3">
      <c r="A61" t="s">
        <v>65</v>
      </c>
      <c r="B61" t="s">
        <v>79</v>
      </c>
      <c r="C61" s="2">
        <v>500</v>
      </c>
      <c r="D61" s="2">
        <v>13</v>
      </c>
      <c r="E61" s="3">
        <v>0.50099199999999999</v>
      </c>
      <c r="F61" s="4">
        <v>156</v>
      </c>
      <c r="G61" s="4">
        <v>156</v>
      </c>
      <c r="H61" s="4">
        <v>156</v>
      </c>
      <c r="I61" s="4">
        <v>2.2343999999999999E-2</v>
      </c>
      <c r="J61" s="2">
        <v>10</v>
      </c>
      <c r="K61" s="4">
        <v>156</v>
      </c>
      <c r="L61" s="4">
        <v>156</v>
      </c>
      <c r="M61" s="4">
        <v>2.7109999999999999E-3</v>
      </c>
      <c r="N61" s="2">
        <v>10</v>
      </c>
      <c r="O61" s="4">
        <v>156</v>
      </c>
      <c r="P61" s="4">
        <v>156</v>
      </c>
      <c r="Q61" s="4">
        <v>3.0639999999999999E-3</v>
      </c>
      <c r="R61" s="2">
        <v>10</v>
      </c>
      <c r="S61" s="2">
        <v>156</v>
      </c>
      <c r="T61" s="2">
        <v>156</v>
      </c>
      <c r="U61">
        <v>12.298797</v>
      </c>
      <c r="V61" s="2">
        <v>10</v>
      </c>
    </row>
    <row r="62" spans="1:22" x14ac:dyDescent="0.3">
      <c r="A62" t="s">
        <v>65</v>
      </c>
      <c r="B62" t="s">
        <v>80</v>
      </c>
      <c r="C62" s="2">
        <v>1000</v>
      </c>
      <c r="D62" s="2">
        <v>15</v>
      </c>
      <c r="E62" s="3">
        <v>0.49965200000000004</v>
      </c>
      <c r="F62" s="4">
        <v>210</v>
      </c>
      <c r="G62" s="4">
        <v>210</v>
      </c>
      <c r="H62" s="4">
        <v>210</v>
      </c>
      <c r="I62" s="4">
        <v>1.8554820000000001</v>
      </c>
      <c r="J62" s="2">
        <v>10</v>
      </c>
      <c r="K62" s="4">
        <v>210</v>
      </c>
      <c r="L62" s="4">
        <v>210</v>
      </c>
      <c r="M62" s="4">
        <v>0.36564000000000002</v>
      </c>
      <c r="N62" s="2">
        <v>10</v>
      </c>
      <c r="O62" s="4">
        <v>210</v>
      </c>
      <c r="P62" s="4">
        <v>210</v>
      </c>
      <c r="Q62" s="4">
        <v>0.107532</v>
      </c>
      <c r="R62" s="2">
        <v>10</v>
      </c>
      <c r="S62" s="2">
        <v>210</v>
      </c>
      <c r="T62" s="2">
        <v>210</v>
      </c>
      <c r="U62">
        <v>69.344348999999994</v>
      </c>
      <c r="V62" s="2">
        <v>10</v>
      </c>
    </row>
    <row r="63" spans="1:22" x14ac:dyDescent="0.3">
      <c r="A63" t="s">
        <v>65</v>
      </c>
      <c r="B63" t="s">
        <v>81</v>
      </c>
      <c r="C63" s="2">
        <v>200</v>
      </c>
      <c r="D63" s="2">
        <v>44</v>
      </c>
      <c r="E63" s="3">
        <v>0.89549999999999996</v>
      </c>
      <c r="F63" s="4">
        <v>1892</v>
      </c>
      <c r="G63" s="4">
        <v>1892</v>
      </c>
      <c r="H63" s="4">
        <v>1892</v>
      </c>
      <c r="I63" s="4">
        <v>0.118549</v>
      </c>
      <c r="J63" s="2">
        <v>10</v>
      </c>
      <c r="K63" s="4">
        <v>1892</v>
      </c>
      <c r="L63" s="4">
        <v>1892</v>
      </c>
      <c r="M63" s="4">
        <v>1.004E-2</v>
      </c>
      <c r="N63" s="2">
        <v>10</v>
      </c>
      <c r="O63" s="4">
        <v>1892</v>
      </c>
      <c r="P63" s="4">
        <v>1892</v>
      </c>
      <c r="Q63" s="4">
        <v>7.2529999999999999E-3</v>
      </c>
      <c r="R63" s="2">
        <v>10</v>
      </c>
      <c r="S63" s="2">
        <v>1892</v>
      </c>
      <c r="T63" s="2">
        <v>1892</v>
      </c>
      <c r="U63">
        <v>5.9016820000000001</v>
      </c>
      <c r="V63" s="2">
        <v>10</v>
      </c>
    </row>
    <row r="64" spans="1:22" x14ac:dyDescent="0.3">
      <c r="A64" t="s">
        <v>65</v>
      </c>
      <c r="B64" t="s">
        <v>82</v>
      </c>
      <c r="C64" s="2">
        <v>200</v>
      </c>
      <c r="D64" s="2">
        <v>55</v>
      </c>
      <c r="E64" s="3">
        <v>0.89549999999999996</v>
      </c>
      <c r="F64" s="4">
        <v>2970</v>
      </c>
      <c r="G64" s="4">
        <v>2970</v>
      </c>
      <c r="H64" s="4">
        <v>2970</v>
      </c>
      <c r="I64" s="4">
        <v>1.1934999999999999E-2</v>
      </c>
      <c r="J64" s="2">
        <v>10</v>
      </c>
      <c r="K64" s="4">
        <v>2970</v>
      </c>
      <c r="L64" s="4">
        <v>2970</v>
      </c>
      <c r="M64" s="4">
        <v>3.3540000000000002E-3</v>
      </c>
      <c r="N64" s="2">
        <v>10</v>
      </c>
      <c r="O64" s="4">
        <v>2970</v>
      </c>
      <c r="P64" s="4">
        <v>2970</v>
      </c>
      <c r="Q64" s="4">
        <v>2.7230000000000002E-3</v>
      </c>
      <c r="R64" s="2">
        <v>10</v>
      </c>
      <c r="S64" s="2">
        <v>2970</v>
      </c>
      <c r="T64" s="2">
        <v>2970</v>
      </c>
      <c r="U64">
        <v>3.489528</v>
      </c>
      <c r="V64" s="2">
        <v>10</v>
      </c>
    </row>
    <row r="65" spans="1:22" x14ac:dyDescent="0.3">
      <c r="A65" t="s">
        <v>65</v>
      </c>
      <c r="B65" t="s">
        <v>83</v>
      </c>
      <c r="C65" s="2">
        <v>400</v>
      </c>
      <c r="D65" s="2">
        <v>55</v>
      </c>
      <c r="E65" s="3">
        <v>0.89775000000000005</v>
      </c>
      <c r="F65" s="4">
        <v>2970</v>
      </c>
      <c r="G65" s="4">
        <v>2970</v>
      </c>
      <c r="H65" s="4">
        <v>2970</v>
      </c>
      <c r="I65" s="4">
        <v>0.88945099999999999</v>
      </c>
      <c r="J65" s="2">
        <v>10</v>
      </c>
      <c r="K65" s="4">
        <v>2970</v>
      </c>
      <c r="L65" s="4">
        <v>2970</v>
      </c>
      <c r="M65" s="4">
        <v>0.159465</v>
      </c>
      <c r="N65" s="2">
        <v>10</v>
      </c>
      <c r="O65" s="4">
        <v>2970</v>
      </c>
      <c r="P65" s="4">
        <v>2970</v>
      </c>
      <c r="Q65" s="4">
        <v>6.9580000000000003E-2</v>
      </c>
      <c r="R65" s="2">
        <v>10</v>
      </c>
      <c r="S65" s="2">
        <v>4160</v>
      </c>
      <c r="T65" s="2">
        <v>4160</v>
      </c>
      <c r="U65">
        <v>12.050444000000001</v>
      </c>
      <c r="V65" s="2">
        <v>10</v>
      </c>
    </row>
    <row r="66" spans="1:22" x14ac:dyDescent="0.3">
      <c r="A66" t="s">
        <v>65</v>
      </c>
      <c r="B66" t="s">
        <v>84</v>
      </c>
      <c r="C66" s="2">
        <v>400</v>
      </c>
      <c r="D66" s="2">
        <v>65</v>
      </c>
      <c r="E66" s="3">
        <v>0.89775000000000005</v>
      </c>
      <c r="F66" s="4">
        <v>4160</v>
      </c>
      <c r="G66" s="4">
        <v>4160</v>
      </c>
      <c r="H66" s="4">
        <v>4160</v>
      </c>
      <c r="I66" s="4">
        <v>0.192996</v>
      </c>
      <c r="J66" s="2">
        <v>10</v>
      </c>
      <c r="K66" s="4">
        <v>4160</v>
      </c>
      <c r="L66" s="4">
        <v>4160</v>
      </c>
      <c r="M66" s="4">
        <v>1.9595000000000001E-2</v>
      </c>
      <c r="N66" s="2">
        <v>10</v>
      </c>
      <c r="O66" s="4">
        <v>4160</v>
      </c>
      <c r="P66" s="4">
        <v>4160</v>
      </c>
      <c r="Q66" s="4">
        <v>1.3395000000000001E-2</v>
      </c>
      <c r="R66" s="2">
        <v>10</v>
      </c>
      <c r="S66" s="2">
        <v>5550</v>
      </c>
      <c r="T66" s="2">
        <v>5550</v>
      </c>
      <c r="U66">
        <v>11.524319</v>
      </c>
      <c r="V66" s="2">
        <v>10</v>
      </c>
    </row>
    <row r="67" spans="1:22" x14ac:dyDescent="0.3">
      <c r="A67" t="s">
        <v>65</v>
      </c>
      <c r="B67" t="s">
        <v>85</v>
      </c>
      <c r="C67" s="2">
        <v>400</v>
      </c>
      <c r="D67" s="2">
        <v>75</v>
      </c>
      <c r="E67" s="3">
        <v>0.89775000000000005</v>
      </c>
      <c r="F67" s="4">
        <v>5550</v>
      </c>
      <c r="G67" s="4">
        <v>5550</v>
      </c>
      <c r="H67" s="4">
        <v>5550</v>
      </c>
      <c r="I67" s="4">
        <v>1.9104989999999999</v>
      </c>
      <c r="J67" s="2">
        <v>10</v>
      </c>
      <c r="K67" s="4">
        <v>5550</v>
      </c>
      <c r="L67" s="4">
        <v>5550</v>
      </c>
      <c r="M67" s="4">
        <v>0.57082200000000005</v>
      </c>
      <c r="N67" s="2">
        <v>10</v>
      </c>
      <c r="O67" s="4">
        <v>5550</v>
      </c>
      <c r="P67" s="4">
        <v>5550</v>
      </c>
      <c r="Q67" s="4">
        <v>0.52558400000000005</v>
      </c>
      <c r="R67" s="2">
        <v>10</v>
      </c>
      <c r="S67" s="2">
        <v>1556</v>
      </c>
      <c r="T67" s="2">
        <v>1553.2</v>
      </c>
      <c r="U67">
        <v>14.597968</v>
      </c>
      <c r="V67" s="2">
        <v>10</v>
      </c>
    </row>
    <row r="68" spans="1:22" x14ac:dyDescent="0.3">
      <c r="A68" t="s">
        <v>65</v>
      </c>
      <c r="B68" t="s">
        <v>86</v>
      </c>
      <c r="C68" s="2">
        <v>256</v>
      </c>
      <c r="D68" s="2">
        <v>16</v>
      </c>
      <c r="E68" s="3">
        <v>0.63671875</v>
      </c>
      <c r="F68" s="4">
        <v>240</v>
      </c>
      <c r="G68" s="4">
        <v>240</v>
      </c>
      <c r="H68" s="4">
        <v>240</v>
      </c>
      <c r="I68" s="4">
        <v>5.2700000000000002E-4</v>
      </c>
      <c r="J68" s="2">
        <v>10</v>
      </c>
      <c r="K68" s="4">
        <v>240</v>
      </c>
      <c r="L68" s="4">
        <v>240</v>
      </c>
      <c r="M68" s="4">
        <v>4.95E-4</v>
      </c>
      <c r="N68" s="2">
        <v>10</v>
      </c>
      <c r="O68" s="4">
        <v>240</v>
      </c>
      <c r="P68" s="4">
        <v>240</v>
      </c>
      <c r="Q68" s="4">
        <v>4.6299999999999998E-4</v>
      </c>
      <c r="R68" s="2">
        <v>10</v>
      </c>
      <c r="S68" s="2">
        <v>240</v>
      </c>
      <c r="T68" s="2">
        <v>238.4</v>
      </c>
      <c r="U68">
        <v>76.556154000000006</v>
      </c>
      <c r="V68" s="2">
        <v>6</v>
      </c>
    </row>
    <row r="69" spans="1:22" x14ac:dyDescent="0.3">
      <c r="A69" t="s">
        <v>65</v>
      </c>
      <c r="B69" t="s">
        <v>87</v>
      </c>
      <c r="C69" s="2">
        <v>1024</v>
      </c>
      <c r="D69" s="2">
        <v>40</v>
      </c>
      <c r="E69" s="3">
        <v>0.828125</v>
      </c>
      <c r="F69" s="4">
        <v>1560</v>
      </c>
      <c r="G69" s="4">
        <v>1560</v>
      </c>
      <c r="H69" s="4">
        <v>1560</v>
      </c>
      <c r="I69" s="4">
        <v>3.1102999999999999E-2</v>
      </c>
      <c r="J69" s="2">
        <v>10</v>
      </c>
      <c r="K69" s="4">
        <v>1560</v>
      </c>
      <c r="L69" s="4">
        <v>1560</v>
      </c>
      <c r="M69" s="4">
        <v>9.5300000000000003E-3</v>
      </c>
      <c r="N69" s="2">
        <v>10</v>
      </c>
      <c r="O69" s="4">
        <v>1560</v>
      </c>
      <c r="P69" s="4">
        <v>1560</v>
      </c>
      <c r="Q69" s="4">
        <v>8.5839999999999996E-3</v>
      </c>
      <c r="R69" s="2">
        <v>10</v>
      </c>
      <c r="S69" s="2">
        <v>1556</v>
      </c>
      <c r="T69" s="2">
        <v>1553.2</v>
      </c>
      <c r="U69" t="s">
        <v>25</v>
      </c>
      <c r="V69" s="2">
        <v>0</v>
      </c>
    </row>
    <row r="70" spans="1:22" x14ac:dyDescent="0.3">
      <c r="A70" t="s">
        <v>65</v>
      </c>
      <c r="B70" t="s">
        <v>88</v>
      </c>
      <c r="C70" s="2">
        <v>171</v>
      </c>
      <c r="D70" s="2">
        <v>11</v>
      </c>
      <c r="E70" s="3">
        <v>0.64532677000000005</v>
      </c>
      <c r="F70" s="4">
        <v>110</v>
      </c>
      <c r="G70" s="4">
        <v>110</v>
      </c>
      <c r="H70" s="4">
        <v>110</v>
      </c>
      <c r="I70" s="4">
        <v>4.4200000000000001E-4</v>
      </c>
      <c r="J70" s="2">
        <v>10</v>
      </c>
      <c r="K70" s="4">
        <v>110</v>
      </c>
      <c r="L70" s="4">
        <v>110</v>
      </c>
      <c r="M70" s="4">
        <v>4.4299999999999998E-4</v>
      </c>
      <c r="N70" s="2">
        <v>10</v>
      </c>
      <c r="O70" s="4">
        <v>110</v>
      </c>
      <c r="P70" s="4">
        <v>110</v>
      </c>
      <c r="Q70" s="4">
        <v>4.5199999999999998E-4</v>
      </c>
      <c r="R70" s="2">
        <v>10</v>
      </c>
      <c r="S70" s="2">
        <v>110</v>
      </c>
      <c r="T70" s="2">
        <v>110</v>
      </c>
      <c r="U70">
        <v>6.8055589999999997</v>
      </c>
      <c r="V70" s="2">
        <v>10</v>
      </c>
    </row>
    <row r="71" spans="1:22" x14ac:dyDescent="0.3">
      <c r="A71" t="s">
        <v>65</v>
      </c>
      <c r="B71" t="s">
        <v>89</v>
      </c>
      <c r="C71" s="2">
        <v>776</v>
      </c>
      <c r="D71" s="2">
        <v>27</v>
      </c>
      <c r="E71" s="3">
        <v>0.75057790000000002</v>
      </c>
      <c r="F71" s="4">
        <v>702</v>
      </c>
      <c r="G71" s="4">
        <v>702</v>
      </c>
      <c r="H71" s="4">
        <v>702</v>
      </c>
      <c r="I71" s="4">
        <v>0.135438</v>
      </c>
      <c r="J71" s="2">
        <v>10</v>
      </c>
      <c r="K71" s="4">
        <v>702</v>
      </c>
      <c r="L71" s="4">
        <v>702</v>
      </c>
      <c r="M71" s="4">
        <v>3.4571999999999999E-2</v>
      </c>
      <c r="N71" s="2">
        <v>10</v>
      </c>
      <c r="O71" s="4">
        <v>702</v>
      </c>
      <c r="P71" s="4">
        <v>702</v>
      </c>
      <c r="Q71" s="4">
        <v>2.3736E-2</v>
      </c>
      <c r="R71" s="2">
        <v>10</v>
      </c>
      <c r="S71" s="2">
        <v>702</v>
      </c>
      <c r="T71" s="2">
        <v>701.6</v>
      </c>
      <c r="U71">
        <v>159.726326</v>
      </c>
      <c r="V71" s="2">
        <v>6</v>
      </c>
    </row>
    <row r="72" spans="1:22" x14ac:dyDescent="0.3">
      <c r="A72" t="s">
        <v>65</v>
      </c>
      <c r="B72" t="s">
        <v>90</v>
      </c>
      <c r="C72" s="2">
        <v>3361</v>
      </c>
      <c r="D72" s="2">
        <v>59</v>
      </c>
      <c r="E72" s="3">
        <v>0.81794736999999995</v>
      </c>
      <c r="F72" s="4">
        <v>3422</v>
      </c>
      <c r="G72" s="4">
        <v>3422</v>
      </c>
      <c r="H72" s="4">
        <v>3421.2</v>
      </c>
      <c r="I72" s="4">
        <v>236.05374599999999</v>
      </c>
      <c r="J72" s="2">
        <v>8</v>
      </c>
      <c r="K72" s="4">
        <v>3422</v>
      </c>
      <c r="L72" s="4">
        <v>3422</v>
      </c>
      <c r="M72" s="4">
        <v>18.342728000000001</v>
      </c>
      <c r="N72" s="2">
        <v>10</v>
      </c>
      <c r="O72" s="4">
        <v>3422</v>
      </c>
      <c r="P72" s="4">
        <v>3422</v>
      </c>
      <c r="Q72" s="4">
        <v>12.804682</v>
      </c>
      <c r="R72" s="2">
        <v>10</v>
      </c>
      <c r="S72" s="2">
        <v>3413</v>
      </c>
      <c r="T72" s="2">
        <v>3394.6</v>
      </c>
      <c r="U72" t="s">
        <v>25</v>
      </c>
      <c r="V72" s="2">
        <v>0</v>
      </c>
    </row>
    <row r="73" spans="1:22" x14ac:dyDescent="0.3">
      <c r="A73" t="s">
        <v>65</v>
      </c>
      <c r="B73" t="s">
        <v>91</v>
      </c>
      <c r="C73" s="2">
        <v>378</v>
      </c>
      <c r="D73" s="2">
        <v>126</v>
      </c>
      <c r="E73" s="3">
        <v>0.98752833999999989</v>
      </c>
      <c r="F73" s="4">
        <v>15750</v>
      </c>
      <c r="G73" s="4">
        <v>15748</v>
      </c>
      <c r="H73" s="4">
        <v>15745.6</v>
      </c>
      <c r="I73" t="s">
        <v>25</v>
      </c>
      <c r="J73" s="2">
        <v>0</v>
      </c>
      <c r="K73" s="4">
        <v>15748</v>
      </c>
      <c r="L73" s="4">
        <v>15745.8</v>
      </c>
      <c r="M73" t="s">
        <v>25</v>
      </c>
      <c r="N73" s="2">
        <v>0</v>
      </c>
      <c r="O73" s="4">
        <v>15750</v>
      </c>
      <c r="P73" s="4">
        <v>15747.4</v>
      </c>
      <c r="Q73" s="4">
        <v>3.7912599999999999</v>
      </c>
      <c r="R73" s="2">
        <v>1</v>
      </c>
      <c r="S73" s="2">
        <v>15750</v>
      </c>
      <c r="T73" s="2">
        <v>15749.7</v>
      </c>
      <c r="U73">
        <v>270.09754900000001</v>
      </c>
      <c r="V73" s="2">
        <v>7</v>
      </c>
    </row>
    <row r="74" spans="1:22" x14ac:dyDescent="0.3">
      <c r="A74" t="s">
        <v>65</v>
      </c>
      <c r="B74" t="s">
        <v>92</v>
      </c>
      <c r="C74" s="2">
        <v>1035</v>
      </c>
      <c r="D74" s="2">
        <v>345</v>
      </c>
      <c r="E74" s="3">
        <v>0.99533710999999991</v>
      </c>
      <c r="F74" s="4">
        <v>118680</v>
      </c>
      <c r="G74" s="4">
        <v>118664</v>
      </c>
      <c r="H74" s="4">
        <v>118660.4</v>
      </c>
      <c r="I74" t="s">
        <v>25</v>
      </c>
      <c r="J74" s="2">
        <v>0</v>
      </c>
      <c r="K74" s="4">
        <v>118664</v>
      </c>
      <c r="L74" s="4">
        <v>118661.2</v>
      </c>
      <c r="M74" t="s">
        <v>25</v>
      </c>
      <c r="N74" s="2">
        <v>0</v>
      </c>
      <c r="O74" s="4">
        <v>118664</v>
      </c>
      <c r="P74" s="4">
        <v>118661.2</v>
      </c>
      <c r="Q74" t="s">
        <v>25</v>
      </c>
      <c r="R74" s="2">
        <v>0</v>
      </c>
      <c r="S74" s="2">
        <v>118663</v>
      </c>
      <c r="T74" s="2">
        <v>118660.7</v>
      </c>
      <c r="U74" t="s">
        <v>25</v>
      </c>
      <c r="V74" s="2">
        <v>0</v>
      </c>
    </row>
    <row r="75" spans="1:22" x14ac:dyDescent="0.3">
      <c r="A75" t="s">
        <v>65</v>
      </c>
      <c r="B75" t="s">
        <v>93</v>
      </c>
      <c r="C75" s="2">
        <v>3321</v>
      </c>
      <c r="D75" s="2">
        <v>1100</v>
      </c>
      <c r="E75" s="3">
        <v>0.9985238099999999</v>
      </c>
      <c r="F75" s="4">
        <v>1208900</v>
      </c>
      <c r="G75" s="4">
        <v>1208862</v>
      </c>
      <c r="H75" s="4">
        <v>1208860.8</v>
      </c>
      <c r="I75" t="s">
        <v>25</v>
      </c>
      <c r="J75" s="2">
        <v>0</v>
      </c>
      <c r="K75" s="4">
        <v>1208866</v>
      </c>
      <c r="L75" s="4">
        <v>1208863.8</v>
      </c>
      <c r="M75" t="s">
        <v>25</v>
      </c>
      <c r="N75" s="2">
        <v>0</v>
      </c>
      <c r="O75" s="4">
        <v>1208866</v>
      </c>
      <c r="P75" s="4">
        <v>1208864.3999999999</v>
      </c>
      <c r="Q75" t="s">
        <v>25</v>
      </c>
      <c r="R75" s="2">
        <v>0</v>
      </c>
      <c r="S75" s="2">
        <v>1208753</v>
      </c>
      <c r="T75" s="2">
        <v>1208651.8999999999</v>
      </c>
      <c r="U75" t="s">
        <v>25</v>
      </c>
      <c r="V75" s="2">
        <v>0</v>
      </c>
    </row>
    <row r="76" spans="1:22" x14ac:dyDescent="0.3">
      <c r="A76" t="s">
        <v>65</v>
      </c>
      <c r="B76" t="s">
        <v>94</v>
      </c>
      <c r="C76" s="2">
        <v>300</v>
      </c>
      <c r="D76" s="2">
        <v>8</v>
      </c>
      <c r="E76" s="3">
        <v>0.24295556000000001</v>
      </c>
      <c r="F76" s="4">
        <v>56</v>
      </c>
      <c r="G76" s="4">
        <v>56</v>
      </c>
      <c r="H76" s="4">
        <v>56</v>
      </c>
      <c r="I76" s="4">
        <v>1.892E-3</v>
      </c>
      <c r="J76" s="2">
        <v>10</v>
      </c>
      <c r="K76" s="4">
        <v>56</v>
      </c>
      <c r="L76" s="4">
        <v>56</v>
      </c>
      <c r="M76" s="4">
        <v>6.8099999999999996E-4</v>
      </c>
      <c r="N76" s="2">
        <v>10</v>
      </c>
      <c r="O76" s="4">
        <v>56</v>
      </c>
      <c r="P76" s="4">
        <v>56</v>
      </c>
      <c r="Q76" s="4">
        <v>6.3100000000000005E-4</v>
      </c>
      <c r="R76" s="2">
        <v>10</v>
      </c>
      <c r="S76" s="2">
        <v>56</v>
      </c>
      <c r="T76" s="2">
        <v>56</v>
      </c>
      <c r="U76">
        <v>3.5429870000000001</v>
      </c>
      <c r="V76" s="2">
        <v>10</v>
      </c>
    </row>
    <row r="77" spans="1:22" x14ac:dyDescent="0.3">
      <c r="A77" t="s">
        <v>65</v>
      </c>
      <c r="B77" t="s">
        <v>95</v>
      </c>
      <c r="C77" s="2">
        <v>300</v>
      </c>
      <c r="D77" s="2">
        <v>25</v>
      </c>
      <c r="E77" s="3">
        <v>0.48728889000000003</v>
      </c>
      <c r="F77" s="4">
        <v>600</v>
      </c>
      <c r="G77" s="4">
        <v>600</v>
      </c>
      <c r="H77" s="4">
        <v>600</v>
      </c>
      <c r="I77" s="4">
        <v>1.1349999999999999E-3</v>
      </c>
      <c r="J77" s="2">
        <v>10</v>
      </c>
      <c r="K77" s="4">
        <v>600</v>
      </c>
      <c r="L77" s="4">
        <v>600</v>
      </c>
      <c r="M77" s="4">
        <v>1.008E-3</v>
      </c>
      <c r="N77" s="2">
        <v>10</v>
      </c>
      <c r="O77" s="4">
        <v>600</v>
      </c>
      <c r="P77" s="4">
        <v>600</v>
      </c>
      <c r="Q77" s="4">
        <v>8.8999999999999995E-4</v>
      </c>
      <c r="R77" s="2">
        <v>10</v>
      </c>
      <c r="S77" s="2">
        <v>600</v>
      </c>
      <c r="T77" s="2">
        <v>600</v>
      </c>
      <c r="U77">
        <v>4.0143170000000001</v>
      </c>
      <c r="V77" s="2">
        <v>10</v>
      </c>
    </row>
    <row r="78" spans="1:22" x14ac:dyDescent="0.3">
      <c r="A78" t="s">
        <v>65</v>
      </c>
      <c r="B78" t="s">
        <v>96</v>
      </c>
      <c r="C78" s="2">
        <v>300</v>
      </c>
      <c r="D78" s="2">
        <v>36</v>
      </c>
      <c r="E78" s="3">
        <v>0.74199999999999999</v>
      </c>
      <c r="F78" s="4">
        <v>1260</v>
      </c>
      <c r="G78" s="4">
        <v>1260</v>
      </c>
      <c r="H78" s="4">
        <v>1260</v>
      </c>
      <c r="I78" s="4">
        <v>8.1729999999999997E-3</v>
      </c>
      <c r="J78" s="2">
        <v>10</v>
      </c>
      <c r="K78" s="4">
        <v>1260</v>
      </c>
      <c r="L78" s="4">
        <v>1260</v>
      </c>
      <c r="M78" s="4">
        <v>1.4989999999999999E-3</v>
      </c>
      <c r="N78" s="2">
        <v>10</v>
      </c>
      <c r="O78" s="4">
        <v>1260</v>
      </c>
      <c r="P78" s="4">
        <v>1260</v>
      </c>
      <c r="Q78" s="4">
        <v>1.147E-3</v>
      </c>
      <c r="R78" s="2">
        <v>10</v>
      </c>
      <c r="S78" s="2">
        <v>1260</v>
      </c>
      <c r="T78" s="2">
        <v>1260</v>
      </c>
      <c r="U78">
        <v>5.4063179999999997</v>
      </c>
      <c r="V78" s="2">
        <v>10</v>
      </c>
    </row>
    <row r="79" spans="1:22" x14ac:dyDescent="0.3">
      <c r="A79" t="s">
        <v>65</v>
      </c>
      <c r="B79" t="s">
        <v>97</v>
      </c>
      <c r="C79" s="2">
        <v>700</v>
      </c>
      <c r="D79" s="2">
        <v>11</v>
      </c>
      <c r="E79" s="3">
        <v>0.24897551000000001</v>
      </c>
      <c r="F79" s="4">
        <v>110</v>
      </c>
      <c r="G79" s="4">
        <v>110</v>
      </c>
      <c r="H79" s="4">
        <v>110</v>
      </c>
      <c r="I79" s="4">
        <v>6.6304000000000002E-2</v>
      </c>
      <c r="J79" s="2">
        <v>10</v>
      </c>
      <c r="K79" s="4">
        <v>110</v>
      </c>
      <c r="L79" s="4">
        <v>110</v>
      </c>
      <c r="M79" s="4">
        <v>3.029E-3</v>
      </c>
      <c r="N79" s="2">
        <v>10</v>
      </c>
      <c r="O79" s="4">
        <v>110</v>
      </c>
      <c r="P79" s="4">
        <v>110</v>
      </c>
      <c r="Q79" s="4">
        <v>4.1289999999999999E-3</v>
      </c>
      <c r="R79" s="2">
        <v>10</v>
      </c>
      <c r="S79" s="2">
        <v>110</v>
      </c>
      <c r="T79" s="2">
        <v>110</v>
      </c>
      <c r="U79">
        <v>5.2673439999999996</v>
      </c>
      <c r="V79" s="2">
        <v>10</v>
      </c>
    </row>
    <row r="80" spans="1:22" x14ac:dyDescent="0.3">
      <c r="A80" t="s">
        <v>65</v>
      </c>
      <c r="B80" t="s">
        <v>98</v>
      </c>
      <c r="C80" s="2">
        <v>700</v>
      </c>
      <c r="D80" s="2">
        <v>44</v>
      </c>
      <c r="E80" s="3">
        <v>0.49684898</v>
      </c>
      <c r="F80" s="4">
        <v>1892</v>
      </c>
      <c r="G80" s="4">
        <v>1892</v>
      </c>
      <c r="H80" s="4">
        <v>1892</v>
      </c>
      <c r="I80" s="4">
        <v>4.5919999999999997E-3</v>
      </c>
      <c r="J80" s="2">
        <v>10</v>
      </c>
      <c r="K80" s="4">
        <v>1892</v>
      </c>
      <c r="L80" s="4">
        <v>1892</v>
      </c>
      <c r="M80" s="4">
        <v>2.9399999999999999E-3</v>
      </c>
      <c r="N80" s="2">
        <v>10</v>
      </c>
      <c r="O80" s="4">
        <v>1892</v>
      </c>
      <c r="P80" s="4">
        <v>1892</v>
      </c>
      <c r="Q80" s="4">
        <v>2.8050000000000002E-3</v>
      </c>
      <c r="R80" s="2">
        <v>10</v>
      </c>
      <c r="S80" s="2">
        <v>1892</v>
      </c>
      <c r="T80" s="2">
        <v>1892</v>
      </c>
      <c r="U80">
        <v>10.565028</v>
      </c>
      <c r="V80" s="2">
        <v>10</v>
      </c>
    </row>
    <row r="81" spans="1:22" x14ac:dyDescent="0.3">
      <c r="A81" t="s">
        <v>65</v>
      </c>
      <c r="B81" t="s">
        <v>99</v>
      </c>
      <c r="C81" s="2">
        <v>700</v>
      </c>
      <c r="D81" s="2">
        <v>62</v>
      </c>
      <c r="E81" s="3">
        <v>0.74697959000000003</v>
      </c>
      <c r="F81" s="4">
        <v>3782</v>
      </c>
      <c r="G81" s="4">
        <v>3782</v>
      </c>
      <c r="H81" s="4">
        <v>3782</v>
      </c>
      <c r="I81" s="4">
        <v>1.1804E-2</v>
      </c>
      <c r="J81" s="2">
        <v>10</v>
      </c>
      <c r="K81" s="4">
        <v>3782</v>
      </c>
      <c r="L81" s="4">
        <v>3782</v>
      </c>
      <c r="M81" s="4">
        <v>4.9160000000000002E-3</v>
      </c>
      <c r="N81" s="2">
        <v>10</v>
      </c>
      <c r="O81" s="4">
        <v>3782</v>
      </c>
      <c r="P81" s="4">
        <v>3782</v>
      </c>
      <c r="Q81" s="4">
        <v>4.6849999999999999E-3</v>
      </c>
      <c r="R81" s="2">
        <v>10</v>
      </c>
      <c r="S81" s="2">
        <v>3782</v>
      </c>
      <c r="T81" s="2">
        <v>3782</v>
      </c>
      <c r="U81">
        <v>15.320743999999999</v>
      </c>
      <c r="V81" s="2">
        <v>10</v>
      </c>
    </row>
    <row r="82" spans="1:22" x14ac:dyDescent="0.3">
      <c r="A82" t="s">
        <v>65</v>
      </c>
      <c r="B82" t="s">
        <v>100</v>
      </c>
      <c r="C82" s="2">
        <v>1500</v>
      </c>
      <c r="D82" s="2">
        <v>12</v>
      </c>
      <c r="E82" s="3">
        <v>0.25326488999999996</v>
      </c>
      <c r="F82" s="4">
        <v>132</v>
      </c>
      <c r="G82" s="4">
        <v>132</v>
      </c>
      <c r="H82" s="4">
        <v>132</v>
      </c>
      <c r="I82" s="4">
        <v>6.7130080000000003</v>
      </c>
      <c r="J82" s="2">
        <v>10</v>
      </c>
      <c r="K82" s="4">
        <v>132</v>
      </c>
      <c r="L82" s="4">
        <v>132</v>
      </c>
      <c r="M82" s="4">
        <v>1.4148750000000001</v>
      </c>
      <c r="N82" s="2">
        <v>10</v>
      </c>
      <c r="O82" s="4">
        <v>132</v>
      </c>
      <c r="P82" s="4">
        <v>132</v>
      </c>
      <c r="Q82" s="4">
        <v>0.42275299999999999</v>
      </c>
      <c r="R82" s="2">
        <v>10</v>
      </c>
      <c r="S82" s="2">
        <v>131</v>
      </c>
      <c r="T82" s="2">
        <v>131</v>
      </c>
      <c r="U82" t="s">
        <v>25</v>
      </c>
      <c r="V82" s="2">
        <v>0</v>
      </c>
    </row>
    <row r="83" spans="1:22" x14ac:dyDescent="0.3">
      <c r="A83" t="s">
        <v>65</v>
      </c>
      <c r="B83" t="s">
        <v>101</v>
      </c>
      <c r="C83" s="2">
        <v>1500</v>
      </c>
      <c r="D83" s="2">
        <v>65</v>
      </c>
      <c r="E83" s="3">
        <v>0.50574222000000002</v>
      </c>
      <c r="F83" s="4">
        <v>4160</v>
      </c>
      <c r="G83" s="4">
        <v>4160</v>
      </c>
      <c r="H83" s="4">
        <v>4160</v>
      </c>
      <c r="I83" s="4">
        <v>2.2131999999999999E-2</v>
      </c>
      <c r="J83" s="2">
        <v>10</v>
      </c>
      <c r="K83" s="4">
        <v>4160</v>
      </c>
      <c r="L83" s="4">
        <v>4160</v>
      </c>
      <c r="M83" s="4">
        <v>1.3129999999999999E-2</v>
      </c>
      <c r="N83" s="2">
        <v>10</v>
      </c>
      <c r="O83" s="4">
        <v>4160</v>
      </c>
      <c r="P83" s="4">
        <v>4160</v>
      </c>
      <c r="Q83" s="4">
        <v>1.0776000000000001E-2</v>
      </c>
      <c r="R83" s="2">
        <v>10</v>
      </c>
      <c r="S83" s="2">
        <v>4160</v>
      </c>
      <c r="T83" s="2">
        <v>4160</v>
      </c>
      <c r="U83">
        <v>26.406604000000002</v>
      </c>
      <c r="V83" s="2">
        <v>10</v>
      </c>
    </row>
    <row r="84" spans="1:22" x14ac:dyDescent="0.3">
      <c r="A84" t="s">
        <v>65</v>
      </c>
      <c r="B84" t="s">
        <v>102</v>
      </c>
      <c r="C84" s="2">
        <v>1500</v>
      </c>
      <c r="D84" s="2">
        <v>94</v>
      </c>
      <c r="E84" s="3">
        <v>0.75310578000000006</v>
      </c>
      <c r="F84" s="4">
        <v>8742</v>
      </c>
      <c r="G84" s="4">
        <v>8742</v>
      </c>
      <c r="H84" s="4">
        <v>8742</v>
      </c>
      <c r="I84" s="4">
        <v>3.9921999999999999E-2</v>
      </c>
      <c r="J84" s="2">
        <v>10</v>
      </c>
      <c r="K84" s="4">
        <v>8742</v>
      </c>
      <c r="L84" s="4">
        <v>8742</v>
      </c>
      <c r="M84" s="4">
        <v>2.3505999999999999E-2</v>
      </c>
      <c r="N84" s="2">
        <v>10</v>
      </c>
      <c r="O84" s="4">
        <v>8742</v>
      </c>
      <c r="P84" s="4">
        <v>8742</v>
      </c>
      <c r="Q84" s="4">
        <v>2.0976999999999999E-2</v>
      </c>
      <c r="R84" s="2">
        <v>10</v>
      </c>
      <c r="S84" s="2">
        <v>8742</v>
      </c>
      <c r="T84" s="2">
        <v>8742</v>
      </c>
      <c r="U84">
        <v>28.411016</v>
      </c>
      <c r="V84" s="2">
        <v>10</v>
      </c>
    </row>
    <row r="85" spans="1:22" x14ac:dyDescent="0.3">
      <c r="A85" s="7" t="s">
        <v>362</v>
      </c>
      <c r="B85" s="7"/>
      <c r="C85" s="8"/>
      <c r="D85" s="8"/>
      <c r="E85" s="9"/>
      <c r="F85" s="10"/>
      <c r="G85" s="11">
        <f t="array" ref="G85">AVERAGE((F48:F84-G48:G84)/F48:F84)</f>
        <v>1.4814218575272167E-3</v>
      </c>
      <c r="H85" s="11">
        <f t="array" ref="H85">AVERAGE((F48:F84-H48:H84)/F48:F84)</f>
        <v>2.2306090143119047E-3</v>
      </c>
      <c r="I85" s="10"/>
      <c r="J85" s="8">
        <f>SUM(J48:J84)</f>
        <v>283</v>
      </c>
      <c r="K85" s="11">
        <f t="array" ref="K85">AVERAGE((F48:F84-K48:K84)/F48:F84)</f>
        <v>1.0733653815144344E-3</v>
      </c>
      <c r="L85" s="11">
        <f t="array" ref="L85">AVERAGE((F48:F84-L48:L84)/F48:F84)</f>
        <v>1.5288448375422731E-3</v>
      </c>
      <c r="M85" s="10"/>
      <c r="N85" s="8">
        <f>SUM(N48:N84)</f>
        <v>298</v>
      </c>
      <c r="O85" s="11">
        <f t="array" ref="O85">AVERAGE((F48:F84-O48:O84)/F48:F84)</f>
        <v>1.0699333780824307E-3</v>
      </c>
      <c r="P85" s="11">
        <f t="array" ref="P85">AVERAGE((F48:F84-P48:P84)/F48:F84)</f>
        <v>1.3980208946787886E-3</v>
      </c>
      <c r="Q85" s="10"/>
      <c r="R85" s="8">
        <f>SUM(R48:R84)</f>
        <v>303</v>
      </c>
      <c r="S85" s="11">
        <f t="array" ref="S85">AVERAGE((F48:F84-S48:S84)/F48:F84)</f>
        <v>2.0070647569180168E-3</v>
      </c>
      <c r="T85" s="11">
        <f t="array" ref="T85">AVERAGE((F48:F84-T48:T84)/F48:F84)</f>
        <v>3.9992591680569258E-3</v>
      </c>
      <c r="U85" s="7"/>
      <c r="V85" s="8">
        <f>SUM(V48:V84)</f>
        <v>219</v>
      </c>
    </row>
    <row r="86" spans="1:22" x14ac:dyDescent="0.3">
      <c r="A86" t="s">
        <v>103</v>
      </c>
      <c r="B86" t="s">
        <v>104</v>
      </c>
      <c r="C86" s="2">
        <v>18772</v>
      </c>
      <c r="D86" s="2">
        <v>57</v>
      </c>
      <c r="E86" s="3">
        <v>1.1240500000000001E-3</v>
      </c>
      <c r="F86" s="4">
        <v>3192</v>
      </c>
      <c r="G86" s="4">
        <v>3192</v>
      </c>
      <c r="H86" s="4">
        <v>3186.2</v>
      </c>
      <c r="I86" s="4">
        <v>268.04895499999998</v>
      </c>
      <c r="J86" s="2">
        <v>9</v>
      </c>
      <c r="K86" s="4">
        <v>3192</v>
      </c>
      <c r="L86" s="4">
        <v>3192</v>
      </c>
      <c r="M86" s="4">
        <v>46.794353999999998</v>
      </c>
      <c r="N86" s="2">
        <v>10</v>
      </c>
      <c r="O86" s="4">
        <v>3192</v>
      </c>
      <c r="P86" s="4">
        <v>3192</v>
      </c>
      <c r="Q86" s="4">
        <v>37.402290999999998</v>
      </c>
      <c r="R86" s="2">
        <v>10</v>
      </c>
      <c r="S86" s="2">
        <v>2960</v>
      </c>
      <c r="T86" s="2">
        <v>2690.2</v>
      </c>
      <c r="U86" t="s">
        <v>25</v>
      </c>
      <c r="V86" s="2">
        <v>0</v>
      </c>
    </row>
    <row r="87" spans="1:22" x14ac:dyDescent="0.3">
      <c r="A87" t="s">
        <v>103</v>
      </c>
      <c r="B87" t="s">
        <v>105</v>
      </c>
      <c r="C87" s="2">
        <v>23133</v>
      </c>
      <c r="D87" s="2">
        <v>26</v>
      </c>
      <c r="E87" s="3">
        <v>3.4922000000000002E-4</v>
      </c>
      <c r="F87" s="4">
        <v>650</v>
      </c>
      <c r="G87" s="4">
        <v>650</v>
      </c>
      <c r="H87" s="4">
        <v>629.6</v>
      </c>
      <c r="I87" s="4">
        <v>198.92444699999999</v>
      </c>
      <c r="J87" s="2">
        <v>8</v>
      </c>
      <c r="K87" s="4">
        <v>650</v>
      </c>
      <c r="L87" s="4">
        <v>650</v>
      </c>
      <c r="M87" s="4">
        <v>43.028191999999997</v>
      </c>
      <c r="N87" s="2">
        <v>10</v>
      </c>
      <c r="O87" s="4">
        <v>650</v>
      </c>
      <c r="P87" s="4">
        <v>650</v>
      </c>
      <c r="Q87" s="4">
        <v>22.770734000000001</v>
      </c>
      <c r="R87" s="2">
        <v>10</v>
      </c>
      <c r="S87" s="2">
        <v>333</v>
      </c>
      <c r="T87" s="2">
        <v>288.10000000000002</v>
      </c>
      <c r="U87" t="s">
        <v>25</v>
      </c>
      <c r="V87" s="2">
        <v>0</v>
      </c>
    </row>
    <row r="88" spans="1:22" x14ac:dyDescent="0.3">
      <c r="A88" t="s">
        <v>103</v>
      </c>
      <c r="B88" t="s">
        <v>106</v>
      </c>
      <c r="C88" s="2">
        <v>5241</v>
      </c>
      <c r="D88" s="2">
        <v>44</v>
      </c>
      <c r="E88" s="3">
        <v>1.0546100000000001E-3</v>
      </c>
      <c r="F88" s="4">
        <v>1892</v>
      </c>
      <c r="G88" s="4">
        <v>1892</v>
      </c>
      <c r="H88" s="4">
        <v>1892</v>
      </c>
      <c r="I88" s="4">
        <v>6.1890000000000001E-3</v>
      </c>
      <c r="J88" s="2">
        <v>10</v>
      </c>
      <c r="K88" s="4">
        <v>1892</v>
      </c>
      <c r="L88" s="4">
        <v>1892</v>
      </c>
      <c r="M88" s="4">
        <v>6.0260000000000001E-3</v>
      </c>
      <c r="N88" s="2">
        <v>10</v>
      </c>
      <c r="O88" s="4">
        <v>1892</v>
      </c>
      <c r="P88" s="4">
        <v>1892</v>
      </c>
      <c r="Q88" s="4">
        <v>5.8939999999999999E-3</v>
      </c>
      <c r="R88" s="2">
        <v>10</v>
      </c>
      <c r="S88" s="2">
        <v>1892</v>
      </c>
      <c r="T88" s="2">
        <v>1892</v>
      </c>
      <c r="U88" s="4">
        <v>27.010867999999999</v>
      </c>
      <c r="V88" s="2">
        <v>10</v>
      </c>
    </row>
    <row r="89" spans="1:22" x14ac:dyDescent="0.3">
      <c r="A89" t="s">
        <v>103</v>
      </c>
      <c r="B89" t="s">
        <v>107</v>
      </c>
      <c r="C89" s="2">
        <v>12006</v>
      </c>
      <c r="D89" s="2">
        <v>239</v>
      </c>
      <c r="E89" s="3">
        <v>1.64404E-3</v>
      </c>
      <c r="F89" s="4">
        <v>56882</v>
      </c>
      <c r="G89" s="4">
        <v>56882</v>
      </c>
      <c r="H89" s="4">
        <v>56882</v>
      </c>
      <c r="I89" s="4">
        <v>4.4259E-2</v>
      </c>
      <c r="J89" s="2">
        <v>10</v>
      </c>
      <c r="K89" s="4">
        <v>56882</v>
      </c>
      <c r="L89" s="4">
        <v>56882</v>
      </c>
      <c r="M89" s="4">
        <v>4.1019E-2</v>
      </c>
      <c r="N89" s="2">
        <v>10</v>
      </c>
      <c r="O89" s="4">
        <v>56882</v>
      </c>
      <c r="P89" s="4">
        <v>56882</v>
      </c>
      <c r="Q89" s="4">
        <v>4.0160000000000001E-2</v>
      </c>
      <c r="R89" s="2">
        <v>10</v>
      </c>
      <c r="S89" s="2">
        <v>56882</v>
      </c>
      <c r="T89" s="2">
        <v>56882</v>
      </c>
      <c r="U89" s="4">
        <v>222.15828099999999</v>
      </c>
      <c r="V89" s="2">
        <v>10</v>
      </c>
    </row>
    <row r="90" spans="1:22" x14ac:dyDescent="0.3">
      <c r="A90" t="s">
        <v>103</v>
      </c>
      <c r="B90" t="s">
        <v>108</v>
      </c>
      <c r="C90" s="2">
        <v>9875</v>
      </c>
      <c r="D90" s="2">
        <v>32</v>
      </c>
      <c r="E90" s="3">
        <v>5.3268999999999994E-4</v>
      </c>
      <c r="F90" s="4">
        <v>992</v>
      </c>
      <c r="G90" s="4">
        <v>992</v>
      </c>
      <c r="H90" s="4">
        <v>915.2</v>
      </c>
      <c r="I90" s="4">
        <v>305.37012600000003</v>
      </c>
      <c r="J90" s="2">
        <v>8</v>
      </c>
      <c r="K90" s="4">
        <v>992</v>
      </c>
      <c r="L90" s="4">
        <v>992</v>
      </c>
      <c r="M90" s="4">
        <v>59.160283</v>
      </c>
      <c r="N90" s="2">
        <v>10</v>
      </c>
      <c r="O90" s="4">
        <v>992</v>
      </c>
      <c r="P90" s="4">
        <v>992</v>
      </c>
      <c r="Q90" s="4">
        <v>26.995709999999999</v>
      </c>
      <c r="R90" s="2">
        <v>10</v>
      </c>
      <c r="S90" s="2">
        <v>688</v>
      </c>
      <c r="T90" s="2">
        <v>518</v>
      </c>
      <c r="U90" t="s">
        <v>25</v>
      </c>
      <c r="V90" s="2">
        <v>0</v>
      </c>
    </row>
    <row r="91" spans="1:22" x14ac:dyDescent="0.3">
      <c r="A91" t="s">
        <v>103</v>
      </c>
      <c r="B91" t="s">
        <v>109</v>
      </c>
      <c r="C91" s="2">
        <v>1133</v>
      </c>
      <c r="D91" s="2">
        <v>12</v>
      </c>
      <c r="E91" s="3">
        <v>8.4927100000000005E-3</v>
      </c>
      <c r="F91" s="4">
        <v>132</v>
      </c>
      <c r="G91" s="4">
        <v>132</v>
      </c>
      <c r="H91" s="4">
        <v>132</v>
      </c>
      <c r="I91" s="4">
        <v>1.4057E-2</v>
      </c>
      <c r="J91" s="2">
        <v>10</v>
      </c>
      <c r="K91" s="4">
        <v>132</v>
      </c>
      <c r="L91" s="4">
        <v>132</v>
      </c>
      <c r="M91" s="4">
        <v>6.7279999999999996E-3</v>
      </c>
      <c r="N91" s="2">
        <v>10</v>
      </c>
      <c r="O91" s="4">
        <v>132</v>
      </c>
      <c r="P91" s="4">
        <v>132</v>
      </c>
      <c r="Q91" s="4">
        <v>7.071E-3</v>
      </c>
      <c r="R91" s="2">
        <v>10</v>
      </c>
      <c r="S91" s="2">
        <v>132</v>
      </c>
      <c r="T91" s="2">
        <v>110.8</v>
      </c>
      <c r="U91" s="4">
        <v>9.1961519999999997</v>
      </c>
      <c r="V91" s="2">
        <v>2</v>
      </c>
    </row>
    <row r="92" spans="1:22" x14ac:dyDescent="0.3">
      <c r="A92" t="s">
        <v>103</v>
      </c>
      <c r="B92" t="s">
        <v>110</v>
      </c>
      <c r="C92" s="2">
        <v>198</v>
      </c>
      <c r="D92" s="2">
        <v>30</v>
      </c>
      <c r="E92" s="3">
        <v>0.13988369</v>
      </c>
      <c r="F92" s="4">
        <v>870</v>
      </c>
      <c r="G92" s="4">
        <v>870</v>
      </c>
      <c r="H92" s="4">
        <v>870</v>
      </c>
      <c r="I92" s="4">
        <v>2.1129999999999999E-3</v>
      </c>
      <c r="J92" s="2">
        <v>10</v>
      </c>
      <c r="K92" s="4">
        <v>870</v>
      </c>
      <c r="L92" s="4">
        <v>870</v>
      </c>
      <c r="M92" s="4">
        <v>8.4699999999999999E-4</v>
      </c>
      <c r="N92" s="2">
        <v>10</v>
      </c>
      <c r="O92" s="4">
        <v>870</v>
      </c>
      <c r="P92" s="4">
        <v>870</v>
      </c>
      <c r="Q92" s="4">
        <v>8.1400000000000005E-4</v>
      </c>
      <c r="R92" s="2">
        <v>10</v>
      </c>
      <c r="S92" s="2">
        <v>870</v>
      </c>
      <c r="T92" s="2">
        <v>870</v>
      </c>
      <c r="U92" s="4">
        <v>1.0041850000000001</v>
      </c>
      <c r="V92" s="2">
        <v>10</v>
      </c>
    </row>
    <row r="93" spans="1:22" x14ac:dyDescent="0.3">
      <c r="C93" s="2"/>
      <c r="D93" s="2"/>
      <c r="E93" s="3"/>
      <c r="F93" s="4"/>
      <c r="G93" s="4"/>
      <c r="H93" s="4"/>
      <c r="I93" s="4"/>
      <c r="J93" s="2"/>
      <c r="K93" s="4"/>
      <c r="L93" s="4"/>
      <c r="M93" s="4"/>
      <c r="N93" s="2"/>
      <c r="O93" s="4"/>
      <c r="P93" s="4"/>
      <c r="Q93" s="4"/>
      <c r="R93" s="2"/>
      <c r="S93" s="2"/>
      <c r="T93" s="2"/>
    </row>
    <row r="94" spans="1:22" x14ac:dyDescent="0.3">
      <c r="A94" t="s">
        <v>111</v>
      </c>
      <c r="B94" t="s">
        <v>112</v>
      </c>
      <c r="C94" s="2">
        <v>500</v>
      </c>
      <c r="D94" s="2">
        <v>50</v>
      </c>
      <c r="E94" s="3">
        <v>0.998</v>
      </c>
      <c r="F94" s="4">
        <v>19485.186969999999</v>
      </c>
      <c r="G94" s="4">
        <v>19485.186969999999</v>
      </c>
      <c r="H94" s="4">
        <v>19485.186969999999</v>
      </c>
      <c r="I94" s="4">
        <v>9.5500000000000001E-4</v>
      </c>
      <c r="J94" s="2">
        <v>10</v>
      </c>
      <c r="K94" s="4">
        <v>19485.186969999999</v>
      </c>
      <c r="L94" s="4">
        <v>19485.186969999999</v>
      </c>
      <c r="M94" s="4">
        <v>9.59E-4</v>
      </c>
      <c r="N94" s="2">
        <v>10</v>
      </c>
      <c r="O94" s="4">
        <v>19485.186969999999</v>
      </c>
      <c r="P94" s="4">
        <v>19485.186969999999</v>
      </c>
      <c r="Q94" s="4">
        <v>9.77E-4</v>
      </c>
      <c r="R94" s="2">
        <v>10</v>
      </c>
      <c r="S94" s="4">
        <v>19485.186969999999</v>
      </c>
      <c r="T94" s="4">
        <v>19485.186969999999</v>
      </c>
      <c r="U94">
        <v>12.79832</v>
      </c>
      <c r="V94" s="2">
        <v>10</v>
      </c>
    </row>
    <row r="95" spans="1:22" x14ac:dyDescent="0.3">
      <c r="A95" t="s">
        <v>111</v>
      </c>
      <c r="B95" t="s">
        <v>113</v>
      </c>
      <c r="C95" s="2">
        <v>500</v>
      </c>
      <c r="D95" s="2">
        <v>50</v>
      </c>
      <c r="E95" s="3">
        <v>0.998</v>
      </c>
      <c r="F95" s="4">
        <v>19701.534769999998</v>
      </c>
      <c r="G95" s="4">
        <v>19701.534769999998</v>
      </c>
      <c r="H95" s="4">
        <v>19701.534769999998</v>
      </c>
      <c r="I95" s="4">
        <v>1.1349999999999999E-3</v>
      </c>
      <c r="J95" s="2">
        <v>10</v>
      </c>
      <c r="K95" s="4">
        <v>19701.534769999998</v>
      </c>
      <c r="L95" s="4">
        <v>19701.534769999998</v>
      </c>
      <c r="M95" s="4">
        <v>1.145E-3</v>
      </c>
      <c r="N95" s="2">
        <v>10</v>
      </c>
      <c r="O95" s="4">
        <v>19701.534769999998</v>
      </c>
      <c r="P95" s="4">
        <v>19701.534769999998</v>
      </c>
      <c r="Q95" s="4">
        <v>1.1440000000000001E-3</v>
      </c>
      <c r="R95" s="2">
        <v>10</v>
      </c>
      <c r="S95" s="4">
        <v>19701.534769999998</v>
      </c>
      <c r="T95" s="4">
        <v>19701.534769999998</v>
      </c>
      <c r="U95">
        <v>17.164161</v>
      </c>
      <c r="V95" s="2">
        <v>10</v>
      </c>
    </row>
    <row r="96" spans="1:22" x14ac:dyDescent="0.3">
      <c r="A96" t="s">
        <v>111</v>
      </c>
      <c r="B96" t="s">
        <v>114</v>
      </c>
      <c r="C96" s="2">
        <v>500</v>
      </c>
      <c r="D96" s="2">
        <v>50</v>
      </c>
      <c r="E96" s="3">
        <v>0.998</v>
      </c>
      <c r="F96" s="4">
        <v>19547.206849999999</v>
      </c>
      <c r="G96" s="4">
        <v>19547.206849999999</v>
      </c>
      <c r="H96" s="4">
        <v>19547.206849999999</v>
      </c>
      <c r="I96" s="4">
        <v>9.3199999999999999E-4</v>
      </c>
      <c r="J96" s="2">
        <v>10</v>
      </c>
      <c r="K96" s="4">
        <v>19547.206849999999</v>
      </c>
      <c r="L96" s="4">
        <v>19547.206849999999</v>
      </c>
      <c r="M96" s="4">
        <v>9.2400000000000002E-4</v>
      </c>
      <c r="N96" s="2">
        <v>10</v>
      </c>
      <c r="O96" s="4">
        <v>19547.206849999999</v>
      </c>
      <c r="P96" s="4">
        <v>19547.206849999999</v>
      </c>
      <c r="Q96" s="4">
        <v>9.3499999999999996E-4</v>
      </c>
      <c r="R96" s="2">
        <v>10</v>
      </c>
      <c r="S96" s="4">
        <v>19547.206849999999</v>
      </c>
      <c r="T96" s="4">
        <v>19547.206849999999</v>
      </c>
      <c r="U96">
        <v>11.577642000000001</v>
      </c>
      <c r="V96" s="2">
        <v>10</v>
      </c>
    </row>
    <row r="97" spans="1:22" x14ac:dyDescent="0.3">
      <c r="A97" t="s">
        <v>111</v>
      </c>
      <c r="B97" t="s">
        <v>115</v>
      </c>
      <c r="C97" s="2">
        <v>500</v>
      </c>
      <c r="D97" s="2">
        <v>50</v>
      </c>
      <c r="E97" s="3">
        <v>0.998</v>
      </c>
      <c r="F97" s="4">
        <v>19596.468379999998</v>
      </c>
      <c r="G97" s="4">
        <v>19596.468379999998</v>
      </c>
      <c r="H97" s="4">
        <v>19596.468379999998</v>
      </c>
      <c r="I97" s="4">
        <v>8.9499999999999996E-4</v>
      </c>
      <c r="J97" s="2">
        <v>10</v>
      </c>
      <c r="K97" s="4">
        <v>19596.468379999998</v>
      </c>
      <c r="L97" s="4">
        <v>19596.468379999998</v>
      </c>
      <c r="M97" s="4">
        <v>8.9599999999999999E-4</v>
      </c>
      <c r="N97" s="2">
        <v>10</v>
      </c>
      <c r="O97" s="4">
        <v>19596.468379999998</v>
      </c>
      <c r="P97" s="4">
        <v>19596.468379999998</v>
      </c>
      <c r="Q97" s="4">
        <v>9.0499999999999999E-4</v>
      </c>
      <c r="R97" s="2">
        <v>10</v>
      </c>
      <c r="S97" s="4">
        <v>19596.468379999998</v>
      </c>
      <c r="T97" s="4">
        <v>19596.468379999998</v>
      </c>
      <c r="U97">
        <v>11.486660000000001</v>
      </c>
      <c r="V97" s="2">
        <v>10</v>
      </c>
    </row>
    <row r="98" spans="1:22" x14ac:dyDescent="0.3">
      <c r="A98" t="s">
        <v>111</v>
      </c>
      <c r="B98" t="s">
        <v>116</v>
      </c>
      <c r="C98" s="2">
        <v>500</v>
      </c>
      <c r="D98" s="2">
        <v>50</v>
      </c>
      <c r="E98" s="3">
        <v>0.998</v>
      </c>
      <c r="F98" s="4">
        <v>19602.62199</v>
      </c>
      <c r="G98" s="4">
        <v>19602.62199</v>
      </c>
      <c r="H98" s="4">
        <v>19602.62199</v>
      </c>
      <c r="I98" s="4">
        <v>9.2500000000000004E-4</v>
      </c>
      <c r="J98" s="2">
        <v>10</v>
      </c>
      <c r="K98" s="4">
        <v>19602.62199</v>
      </c>
      <c r="L98" s="4">
        <v>19602.62199</v>
      </c>
      <c r="M98" s="4">
        <v>9.9799999999999997E-4</v>
      </c>
      <c r="N98" s="2">
        <v>10</v>
      </c>
      <c r="O98" s="4">
        <v>19602.62199</v>
      </c>
      <c r="P98" s="4">
        <v>19602.62199</v>
      </c>
      <c r="Q98" s="4">
        <v>9.2599999999999996E-4</v>
      </c>
      <c r="R98" s="2">
        <v>10</v>
      </c>
      <c r="S98" s="4">
        <v>19602.62199</v>
      </c>
      <c r="T98" s="4">
        <v>19602.62199</v>
      </c>
      <c r="U98">
        <v>12.033814</v>
      </c>
      <c r="V98" s="2">
        <v>10</v>
      </c>
    </row>
    <row r="99" spans="1:22" x14ac:dyDescent="0.3">
      <c r="A99" t="s">
        <v>111</v>
      </c>
      <c r="B99" t="s">
        <v>117</v>
      </c>
      <c r="C99" s="2">
        <v>500</v>
      </c>
      <c r="D99" s="2">
        <v>50</v>
      </c>
      <c r="E99" s="3">
        <v>0.998</v>
      </c>
      <c r="F99" s="4">
        <v>19421.539079999999</v>
      </c>
      <c r="G99" s="4">
        <v>19421.539079999999</v>
      </c>
      <c r="H99" s="4">
        <v>19421.539079999999</v>
      </c>
      <c r="I99" s="4">
        <v>9.4499999999999998E-4</v>
      </c>
      <c r="J99" s="2">
        <v>10</v>
      </c>
      <c r="K99" s="4">
        <v>19421.539079999999</v>
      </c>
      <c r="L99" s="4">
        <v>19421.539079999999</v>
      </c>
      <c r="M99" s="4">
        <v>9.3300000000000002E-4</v>
      </c>
      <c r="N99" s="2">
        <v>10</v>
      </c>
      <c r="O99" s="4">
        <v>19421.539079999999</v>
      </c>
      <c r="P99" s="4">
        <v>19421.539079999999</v>
      </c>
      <c r="Q99" s="4">
        <v>9.4700000000000003E-4</v>
      </c>
      <c r="R99" s="2">
        <v>10</v>
      </c>
      <c r="S99" s="4">
        <v>19421.539079999999</v>
      </c>
      <c r="T99" s="4">
        <v>19421.539079999999</v>
      </c>
      <c r="U99">
        <v>11.441800000000001</v>
      </c>
      <c r="V99" s="2">
        <v>10</v>
      </c>
    </row>
    <row r="100" spans="1:22" x14ac:dyDescent="0.3">
      <c r="A100" t="s">
        <v>111</v>
      </c>
      <c r="B100" t="s">
        <v>118</v>
      </c>
      <c r="C100" s="2">
        <v>500</v>
      </c>
      <c r="D100" s="2">
        <v>50</v>
      </c>
      <c r="E100" s="3">
        <v>0.998</v>
      </c>
      <c r="F100" s="4">
        <v>19534.30358</v>
      </c>
      <c r="G100" s="4">
        <v>19534.30358</v>
      </c>
      <c r="H100" s="4">
        <v>19534.30358</v>
      </c>
      <c r="I100" s="4">
        <v>1.065E-3</v>
      </c>
      <c r="J100" s="2">
        <v>10</v>
      </c>
      <c r="K100" s="4">
        <v>19534.30358</v>
      </c>
      <c r="L100" s="4">
        <v>19534.30358</v>
      </c>
      <c r="M100" s="4">
        <v>1.0679999999999999E-3</v>
      </c>
      <c r="N100" s="2">
        <v>10</v>
      </c>
      <c r="O100" s="4">
        <v>19534.30358</v>
      </c>
      <c r="P100" s="4">
        <v>19534.30358</v>
      </c>
      <c r="Q100" s="4">
        <v>1.0690000000000001E-3</v>
      </c>
      <c r="R100" s="2">
        <v>10</v>
      </c>
      <c r="S100" s="4">
        <v>19534.30358</v>
      </c>
      <c r="T100" s="4">
        <v>19534.30358</v>
      </c>
      <c r="U100">
        <v>15.650261</v>
      </c>
      <c r="V100" s="2">
        <v>10</v>
      </c>
    </row>
    <row r="101" spans="1:22" x14ac:dyDescent="0.3">
      <c r="A101" t="s">
        <v>111</v>
      </c>
      <c r="B101" t="s">
        <v>119</v>
      </c>
      <c r="C101" s="2">
        <v>500</v>
      </c>
      <c r="D101" s="2">
        <v>50</v>
      </c>
      <c r="E101" s="3">
        <v>0.998</v>
      </c>
      <c r="F101" s="4">
        <v>19487.320530000001</v>
      </c>
      <c r="G101" s="4">
        <v>19487.320530000001</v>
      </c>
      <c r="H101" s="4">
        <v>19487.320530000001</v>
      </c>
      <c r="I101" s="4">
        <v>2.032E-3</v>
      </c>
      <c r="J101" s="2">
        <v>10</v>
      </c>
      <c r="K101" s="4">
        <v>19487.320530000001</v>
      </c>
      <c r="L101" s="4">
        <v>19487.320530000001</v>
      </c>
      <c r="M101" s="4">
        <v>1.14E-3</v>
      </c>
      <c r="N101" s="2">
        <v>10</v>
      </c>
      <c r="O101" s="4">
        <v>19487.320530000001</v>
      </c>
      <c r="P101" s="4">
        <v>19487.320530000001</v>
      </c>
      <c r="Q101" s="4">
        <v>1.1689999999999999E-3</v>
      </c>
      <c r="R101" s="2">
        <v>10</v>
      </c>
      <c r="S101" s="4">
        <v>19487.320530000001</v>
      </c>
      <c r="T101" s="4">
        <v>19487.320530000001</v>
      </c>
      <c r="U101">
        <v>16.489481999999999</v>
      </c>
      <c r="V101" s="2">
        <v>10</v>
      </c>
    </row>
    <row r="102" spans="1:22" x14ac:dyDescent="0.3">
      <c r="A102" t="s">
        <v>111</v>
      </c>
      <c r="B102" t="s">
        <v>120</v>
      </c>
      <c r="C102" s="2">
        <v>500</v>
      </c>
      <c r="D102" s="2">
        <v>50</v>
      </c>
      <c r="E102" s="3">
        <v>0.998</v>
      </c>
      <c r="F102" s="4">
        <v>19221.628779999999</v>
      </c>
      <c r="G102" s="4">
        <v>19221.628779999999</v>
      </c>
      <c r="H102" s="4">
        <v>19221.628779999999</v>
      </c>
      <c r="I102" s="4">
        <v>9.3499999999999996E-4</v>
      </c>
      <c r="J102" s="2">
        <v>10</v>
      </c>
      <c r="K102" s="4">
        <v>19221.628779999999</v>
      </c>
      <c r="L102" s="4">
        <v>19221.628779999999</v>
      </c>
      <c r="M102" s="4">
        <v>9.3400000000000004E-4</v>
      </c>
      <c r="N102" s="2">
        <v>10</v>
      </c>
      <c r="O102" s="4">
        <v>19221.628779999999</v>
      </c>
      <c r="P102" s="4">
        <v>19221.628779999999</v>
      </c>
      <c r="Q102" s="4">
        <v>9.3800000000000003E-4</v>
      </c>
      <c r="R102" s="2">
        <v>10</v>
      </c>
      <c r="S102" s="4">
        <v>19221.628779999999</v>
      </c>
      <c r="T102" s="4">
        <v>19221.628779999999</v>
      </c>
      <c r="U102">
        <v>11.430236000000001</v>
      </c>
      <c r="V102" s="2">
        <v>10</v>
      </c>
    </row>
    <row r="103" spans="1:22" x14ac:dyDescent="0.3">
      <c r="A103" t="s">
        <v>111</v>
      </c>
      <c r="B103" t="s">
        <v>121</v>
      </c>
      <c r="C103" s="2">
        <v>500</v>
      </c>
      <c r="D103" s="2">
        <v>50</v>
      </c>
      <c r="E103" s="3">
        <v>0.998</v>
      </c>
      <c r="F103" s="4">
        <v>19703.339909999999</v>
      </c>
      <c r="G103" s="4">
        <v>19703.339909999999</v>
      </c>
      <c r="H103" s="4">
        <v>19703.339909999999</v>
      </c>
      <c r="I103" s="4">
        <v>1.003E-3</v>
      </c>
      <c r="J103" s="2">
        <v>10</v>
      </c>
      <c r="K103" s="4">
        <v>19703.339909999999</v>
      </c>
      <c r="L103" s="4">
        <v>19703.339909999999</v>
      </c>
      <c r="M103" s="4">
        <v>9.9400000000000009E-4</v>
      </c>
      <c r="N103" s="2">
        <v>10</v>
      </c>
      <c r="O103" s="4">
        <v>19703.339909999999</v>
      </c>
      <c r="P103" s="4">
        <v>19703.339909999999</v>
      </c>
      <c r="Q103" s="4">
        <v>1.0280000000000001E-3</v>
      </c>
      <c r="R103" s="2">
        <v>10</v>
      </c>
      <c r="S103" s="4">
        <v>19703.339909999999</v>
      </c>
      <c r="T103" s="4">
        <v>19703.339909999999</v>
      </c>
      <c r="U103">
        <v>10.794029</v>
      </c>
      <c r="V103" s="2">
        <v>10</v>
      </c>
    </row>
    <row r="104" spans="1:22" x14ac:dyDescent="0.3">
      <c r="A104" t="s">
        <v>111</v>
      </c>
      <c r="B104" t="s">
        <v>122</v>
      </c>
      <c r="C104" s="2">
        <v>500</v>
      </c>
      <c r="D104" s="2">
        <v>50</v>
      </c>
      <c r="E104" s="3">
        <v>0.998</v>
      </c>
      <c r="F104" s="4">
        <v>19587.120180000002</v>
      </c>
      <c r="G104" s="4">
        <v>19587.120180000002</v>
      </c>
      <c r="H104" s="4">
        <v>19587.120180000002</v>
      </c>
      <c r="I104" s="4">
        <v>1.101E-3</v>
      </c>
      <c r="J104" s="2">
        <v>10</v>
      </c>
      <c r="K104" s="4">
        <v>19587.120180000002</v>
      </c>
      <c r="L104" s="4">
        <v>19587.120180000002</v>
      </c>
      <c r="M104" s="4">
        <v>1.0759999999999999E-3</v>
      </c>
      <c r="N104" s="2">
        <v>10</v>
      </c>
      <c r="O104" s="4">
        <v>19587.120180000002</v>
      </c>
      <c r="P104" s="4">
        <v>19587.120180000002</v>
      </c>
      <c r="Q104" s="4">
        <v>1.091E-3</v>
      </c>
      <c r="R104" s="2">
        <v>10</v>
      </c>
      <c r="S104" s="4">
        <v>19587.120180000002</v>
      </c>
      <c r="T104" s="4">
        <v>19587.120180000002</v>
      </c>
      <c r="U104">
        <v>10.568502000000001</v>
      </c>
      <c r="V104" s="2">
        <v>10</v>
      </c>
    </row>
    <row r="105" spans="1:22" x14ac:dyDescent="0.3">
      <c r="A105" t="s">
        <v>111</v>
      </c>
      <c r="B105" t="s">
        <v>123</v>
      </c>
      <c r="C105" s="2">
        <v>500</v>
      </c>
      <c r="D105" s="2">
        <v>50</v>
      </c>
      <c r="E105" s="3">
        <v>0.998</v>
      </c>
      <c r="F105" s="4">
        <v>19360.22393</v>
      </c>
      <c r="G105" s="4">
        <v>19360.22393</v>
      </c>
      <c r="H105" s="4">
        <v>19360.22393</v>
      </c>
      <c r="I105" s="4">
        <v>9.3000000000000005E-4</v>
      </c>
      <c r="J105" s="2">
        <v>10</v>
      </c>
      <c r="K105" s="4">
        <v>19360.22393</v>
      </c>
      <c r="L105" s="4">
        <v>19360.22393</v>
      </c>
      <c r="M105" s="4">
        <v>9.4700000000000003E-4</v>
      </c>
      <c r="N105" s="2">
        <v>10</v>
      </c>
      <c r="O105" s="4">
        <v>19360.22393</v>
      </c>
      <c r="P105" s="4">
        <v>19360.22393</v>
      </c>
      <c r="Q105" s="4">
        <v>9.2500000000000004E-4</v>
      </c>
      <c r="R105" s="2">
        <v>10</v>
      </c>
      <c r="S105" s="4">
        <v>19360.22393</v>
      </c>
      <c r="T105" s="4">
        <v>19360.22393</v>
      </c>
      <c r="U105">
        <v>11.672351000000001</v>
      </c>
      <c r="V105" s="2">
        <v>10</v>
      </c>
    </row>
    <row r="106" spans="1:22" x14ac:dyDescent="0.3">
      <c r="A106" t="s">
        <v>111</v>
      </c>
      <c r="B106" t="s">
        <v>124</v>
      </c>
      <c r="C106" s="2">
        <v>500</v>
      </c>
      <c r="D106" s="2">
        <v>50</v>
      </c>
      <c r="E106" s="3">
        <v>0.998</v>
      </c>
      <c r="F106" s="4">
        <v>19366.698520000002</v>
      </c>
      <c r="G106" s="4">
        <v>19366.698520000002</v>
      </c>
      <c r="H106" s="4">
        <v>19366.698520000002</v>
      </c>
      <c r="I106" s="4">
        <v>8.8900000000000003E-4</v>
      </c>
      <c r="J106" s="2">
        <v>10</v>
      </c>
      <c r="K106" s="4">
        <v>19366.698520000002</v>
      </c>
      <c r="L106" s="4">
        <v>19366.698520000002</v>
      </c>
      <c r="M106" s="4">
        <v>9.1600000000000004E-4</v>
      </c>
      <c r="N106" s="2">
        <v>10</v>
      </c>
      <c r="O106" s="4">
        <v>19366.698520000002</v>
      </c>
      <c r="P106" s="4">
        <v>19366.698520000002</v>
      </c>
      <c r="Q106" s="4">
        <v>9.0700000000000004E-4</v>
      </c>
      <c r="R106" s="2">
        <v>10</v>
      </c>
      <c r="S106" s="4">
        <v>19366.698520000002</v>
      </c>
      <c r="T106" s="4">
        <v>19366.698520000002</v>
      </c>
      <c r="U106">
        <v>12.666591</v>
      </c>
      <c r="V106" s="2">
        <v>10</v>
      </c>
    </row>
    <row r="107" spans="1:22" x14ac:dyDescent="0.3">
      <c r="A107" t="s">
        <v>111</v>
      </c>
      <c r="B107" t="s">
        <v>125</v>
      </c>
      <c r="C107" s="2">
        <v>500</v>
      </c>
      <c r="D107" s="2">
        <v>50</v>
      </c>
      <c r="E107" s="3">
        <v>0.998</v>
      </c>
      <c r="F107" s="4">
        <v>19458.56466</v>
      </c>
      <c r="G107" s="4">
        <v>19458.56466</v>
      </c>
      <c r="H107" s="4">
        <v>19458.56466</v>
      </c>
      <c r="I107" s="4">
        <v>8.7500000000000002E-4</v>
      </c>
      <c r="J107" s="2">
        <v>10</v>
      </c>
      <c r="K107" s="4">
        <v>19458.56466</v>
      </c>
      <c r="L107" s="4">
        <v>19458.56466</v>
      </c>
      <c r="M107" s="4">
        <v>9.0200000000000002E-4</v>
      </c>
      <c r="N107" s="2">
        <v>10</v>
      </c>
      <c r="O107" s="4">
        <v>19458.56466</v>
      </c>
      <c r="P107" s="4">
        <v>19458.56466</v>
      </c>
      <c r="Q107" s="4">
        <v>9.0899999999999998E-4</v>
      </c>
      <c r="R107" s="2">
        <v>10</v>
      </c>
      <c r="S107" s="4">
        <v>19458.56466</v>
      </c>
      <c r="T107" s="4">
        <v>19458.56466</v>
      </c>
      <c r="U107">
        <v>11.762024</v>
      </c>
      <c r="V107" s="2">
        <v>10</v>
      </c>
    </row>
    <row r="108" spans="1:22" x14ac:dyDescent="0.3">
      <c r="A108" t="s">
        <v>111</v>
      </c>
      <c r="B108" t="s">
        <v>126</v>
      </c>
      <c r="C108" s="2">
        <v>500</v>
      </c>
      <c r="D108" s="2">
        <v>50</v>
      </c>
      <c r="E108" s="3">
        <v>0.998</v>
      </c>
      <c r="F108" s="4">
        <v>19422.146400000001</v>
      </c>
      <c r="G108" s="4">
        <v>19422.146400000001</v>
      </c>
      <c r="H108" s="4">
        <v>19422.146400000001</v>
      </c>
      <c r="I108" s="4">
        <v>9.6299999999999999E-4</v>
      </c>
      <c r="J108" s="2">
        <v>10</v>
      </c>
      <c r="K108" s="4">
        <v>19422.146400000001</v>
      </c>
      <c r="L108" s="4">
        <v>19422.146400000001</v>
      </c>
      <c r="M108" s="4">
        <v>9.990000000000001E-4</v>
      </c>
      <c r="N108" s="2">
        <v>10</v>
      </c>
      <c r="O108" s="4">
        <v>19422.146400000001</v>
      </c>
      <c r="P108" s="4">
        <v>19422.146400000001</v>
      </c>
      <c r="Q108" s="4">
        <v>9.77E-4</v>
      </c>
      <c r="R108" s="2">
        <v>10</v>
      </c>
      <c r="S108" s="4">
        <v>19422.146400000001</v>
      </c>
      <c r="T108" s="4">
        <v>19422.146400000001</v>
      </c>
      <c r="U108">
        <v>12.544639999999999</v>
      </c>
      <c r="V108" s="2">
        <v>10</v>
      </c>
    </row>
    <row r="109" spans="1:22" x14ac:dyDescent="0.3">
      <c r="A109" t="s">
        <v>111</v>
      </c>
      <c r="B109" t="s">
        <v>127</v>
      </c>
      <c r="C109" s="2">
        <v>500</v>
      </c>
      <c r="D109" s="2">
        <v>50</v>
      </c>
      <c r="E109" s="3">
        <v>0.998</v>
      </c>
      <c r="F109" s="4">
        <v>19680.20477</v>
      </c>
      <c r="G109" s="4">
        <v>19680.20477</v>
      </c>
      <c r="H109" s="4">
        <v>19680.20477</v>
      </c>
      <c r="I109" s="4">
        <v>9.6699999999999998E-4</v>
      </c>
      <c r="J109" s="2">
        <v>10</v>
      </c>
      <c r="K109" s="4">
        <v>19680.20477</v>
      </c>
      <c r="L109" s="4">
        <v>19680.20477</v>
      </c>
      <c r="M109" s="4">
        <v>9.68E-4</v>
      </c>
      <c r="N109" s="2">
        <v>10</v>
      </c>
      <c r="O109" s="4">
        <v>19680.20477</v>
      </c>
      <c r="P109" s="4">
        <v>19680.20477</v>
      </c>
      <c r="Q109" s="4">
        <v>9.7099999999999997E-4</v>
      </c>
      <c r="R109" s="2">
        <v>10</v>
      </c>
      <c r="S109" s="4">
        <v>19680.20477</v>
      </c>
      <c r="T109" s="4">
        <v>19680.20477</v>
      </c>
      <c r="U109">
        <v>12.165422</v>
      </c>
      <c r="V109" s="2">
        <v>10</v>
      </c>
    </row>
    <row r="110" spans="1:22" x14ac:dyDescent="0.3">
      <c r="A110" t="s">
        <v>111</v>
      </c>
      <c r="B110" t="s">
        <v>128</v>
      </c>
      <c r="C110" s="2">
        <v>500</v>
      </c>
      <c r="D110" s="2">
        <v>50</v>
      </c>
      <c r="E110" s="3">
        <v>0.998</v>
      </c>
      <c r="F110" s="4">
        <v>19331.38841</v>
      </c>
      <c r="G110" s="4">
        <v>19331.38841</v>
      </c>
      <c r="H110" s="4">
        <v>19331.38841</v>
      </c>
      <c r="I110" s="4">
        <v>9.1399999999999999E-4</v>
      </c>
      <c r="J110" s="2">
        <v>10</v>
      </c>
      <c r="K110" s="4">
        <v>19331.38841</v>
      </c>
      <c r="L110" s="4">
        <v>19331.38841</v>
      </c>
      <c r="M110" s="4">
        <v>9.4399999999999996E-4</v>
      </c>
      <c r="N110" s="2">
        <v>10</v>
      </c>
      <c r="O110" s="4">
        <v>19331.38841</v>
      </c>
      <c r="P110" s="4">
        <v>19331.38841</v>
      </c>
      <c r="Q110" s="4">
        <v>9.5200000000000005E-4</v>
      </c>
      <c r="R110" s="2">
        <v>10</v>
      </c>
      <c r="S110" s="4">
        <v>19331.38841</v>
      </c>
      <c r="T110" s="4">
        <v>19331.38841</v>
      </c>
      <c r="U110">
        <v>12.457155999999999</v>
      </c>
      <c r="V110" s="2">
        <v>10</v>
      </c>
    </row>
    <row r="111" spans="1:22" x14ac:dyDescent="0.3">
      <c r="A111" t="s">
        <v>111</v>
      </c>
      <c r="B111" t="s">
        <v>129</v>
      </c>
      <c r="C111" s="2">
        <v>500</v>
      </c>
      <c r="D111" s="2">
        <v>50</v>
      </c>
      <c r="E111" s="3">
        <v>0.998</v>
      </c>
      <c r="F111" s="4">
        <v>19461.3946</v>
      </c>
      <c r="G111" s="4">
        <v>19461.3946</v>
      </c>
      <c r="H111" s="4">
        <v>19461.3946</v>
      </c>
      <c r="I111" s="4">
        <v>8.4400000000000002E-4</v>
      </c>
      <c r="J111" s="2">
        <v>10</v>
      </c>
      <c r="K111" s="4">
        <v>19461.3946</v>
      </c>
      <c r="L111" s="4">
        <v>19461.3946</v>
      </c>
      <c r="M111" s="4">
        <v>8.8699999999999998E-4</v>
      </c>
      <c r="N111" s="2">
        <v>10</v>
      </c>
      <c r="O111" s="4">
        <v>19461.3946</v>
      </c>
      <c r="P111" s="4">
        <v>19461.3946</v>
      </c>
      <c r="Q111" s="4">
        <v>8.6600000000000002E-4</v>
      </c>
      <c r="R111" s="2">
        <v>10</v>
      </c>
      <c r="S111" s="4">
        <v>19461.3946</v>
      </c>
      <c r="T111" s="4">
        <v>19461.3946</v>
      </c>
      <c r="U111">
        <v>10.907836</v>
      </c>
      <c r="V111" s="2">
        <v>10</v>
      </c>
    </row>
    <row r="112" spans="1:22" x14ac:dyDescent="0.3">
      <c r="A112" t="s">
        <v>111</v>
      </c>
      <c r="B112" t="s">
        <v>130</v>
      </c>
      <c r="C112" s="2">
        <v>500</v>
      </c>
      <c r="D112" s="2">
        <v>50</v>
      </c>
      <c r="E112" s="3">
        <v>0.998</v>
      </c>
      <c r="F112" s="4">
        <v>19477.325769999999</v>
      </c>
      <c r="G112" s="4">
        <v>19477.325769999999</v>
      </c>
      <c r="H112" s="4">
        <v>19477.325769999999</v>
      </c>
      <c r="I112" s="4">
        <v>9.1299999999999997E-4</v>
      </c>
      <c r="J112" s="2">
        <v>10</v>
      </c>
      <c r="K112" s="4">
        <v>19477.325769999999</v>
      </c>
      <c r="L112" s="4">
        <v>19477.325769999999</v>
      </c>
      <c r="M112" s="4">
        <v>9.3999999999999997E-4</v>
      </c>
      <c r="N112" s="2">
        <v>10</v>
      </c>
      <c r="O112" s="4">
        <v>19477.325769999999</v>
      </c>
      <c r="P112" s="4">
        <v>19477.325769999999</v>
      </c>
      <c r="Q112" s="4">
        <v>9.7300000000000002E-4</v>
      </c>
      <c r="R112" s="2">
        <v>10</v>
      </c>
      <c r="S112" s="4">
        <v>19477.325769999999</v>
      </c>
      <c r="T112" s="4">
        <v>19477.325769999999</v>
      </c>
      <c r="U112">
        <v>11.213642</v>
      </c>
      <c r="V112" s="2">
        <v>10</v>
      </c>
    </row>
    <row r="113" spans="1:22" x14ac:dyDescent="0.3">
      <c r="A113" t="s">
        <v>111</v>
      </c>
      <c r="B113" t="s">
        <v>131</v>
      </c>
      <c r="C113" s="2">
        <v>500</v>
      </c>
      <c r="D113" s="2">
        <v>50</v>
      </c>
      <c r="E113" s="3">
        <v>0.998</v>
      </c>
      <c r="F113" s="4">
        <v>19604.843560000001</v>
      </c>
      <c r="G113" s="4">
        <v>19604.843560000001</v>
      </c>
      <c r="H113" s="4">
        <v>19604.843560000001</v>
      </c>
      <c r="I113" s="4">
        <v>8.5899999999999995E-4</v>
      </c>
      <c r="J113" s="2">
        <v>10</v>
      </c>
      <c r="K113" s="4">
        <v>19604.843560000001</v>
      </c>
      <c r="L113" s="4">
        <v>19604.843560000001</v>
      </c>
      <c r="M113" s="4">
        <v>8.7100000000000003E-4</v>
      </c>
      <c r="N113" s="2">
        <v>10</v>
      </c>
      <c r="O113" s="4">
        <v>19604.843560000001</v>
      </c>
      <c r="P113" s="4">
        <v>19604.843560000001</v>
      </c>
      <c r="Q113" s="4">
        <v>8.6700000000000004E-4</v>
      </c>
      <c r="R113" s="2">
        <v>10</v>
      </c>
      <c r="S113" s="4">
        <v>19604.843560000001</v>
      </c>
      <c r="T113" s="4">
        <v>19604.843560000001</v>
      </c>
      <c r="U113">
        <v>10.107010000000001</v>
      </c>
      <c r="V113" s="2">
        <v>10</v>
      </c>
    </row>
    <row r="114" spans="1:22" x14ac:dyDescent="0.3">
      <c r="A114" s="7" t="s">
        <v>363</v>
      </c>
      <c r="B114" s="7"/>
      <c r="C114" s="8"/>
      <c r="D114" s="8"/>
      <c r="E114" s="9"/>
      <c r="F114" s="10"/>
      <c r="G114" s="10"/>
      <c r="H114" s="10"/>
      <c r="I114" s="10">
        <f>AVERAGE(I94:I113)</f>
        <v>1.0038500000000001E-3</v>
      </c>
      <c r="J114" s="8">
        <f>SUM(J94:J113)</f>
        <v>200</v>
      </c>
      <c r="K114" s="10"/>
      <c r="L114" s="10"/>
      <c r="M114" s="10">
        <f>AVERAGE(M94:M113)</f>
        <v>9.7205000000000002E-4</v>
      </c>
      <c r="N114" s="8">
        <f>SUM(N94:N113)</f>
        <v>200</v>
      </c>
      <c r="O114" s="10"/>
      <c r="P114" s="10"/>
      <c r="Q114" s="10">
        <f>AVERAGE(Q94:Q113)</f>
        <v>9.7380000000000003E-4</v>
      </c>
      <c r="R114" s="8">
        <f>SUM(R94:R113)</f>
        <v>200</v>
      </c>
      <c r="S114" s="8"/>
      <c r="T114" s="8"/>
      <c r="U114" s="10">
        <f>AVERAGE(U94:U113)</f>
        <v>12.346578949999998</v>
      </c>
      <c r="V114" s="8">
        <f>SUM(V94:V113)</f>
        <v>200</v>
      </c>
    </row>
    <row r="115" spans="1:22" x14ac:dyDescent="0.3">
      <c r="A115" t="s">
        <v>132</v>
      </c>
      <c r="B115" t="s">
        <v>133</v>
      </c>
      <c r="C115" s="2">
        <v>2000</v>
      </c>
      <c r="D115" s="2">
        <v>100</v>
      </c>
      <c r="E115" s="3">
        <v>3.24225E-2</v>
      </c>
      <c r="F115" s="4">
        <v>2556303.3172800001</v>
      </c>
      <c r="G115" s="4">
        <v>2556303.3172799982</v>
      </c>
      <c r="H115" s="4">
        <v>2556303.3172800019</v>
      </c>
      <c r="I115" s="4">
        <v>1.2272999999999999E-2</v>
      </c>
      <c r="J115" s="2">
        <v>10</v>
      </c>
      <c r="K115" s="4">
        <v>2556303.3172799982</v>
      </c>
      <c r="L115" s="4">
        <v>2556303.317280001</v>
      </c>
      <c r="M115" s="4">
        <v>1.2671999999999999E-2</v>
      </c>
      <c r="N115" s="2">
        <v>10</v>
      </c>
      <c r="O115" s="4">
        <v>2556303.3172799982</v>
      </c>
      <c r="P115" s="4">
        <v>2556303.317280001</v>
      </c>
      <c r="Q115" s="4">
        <v>1.2486000000000001E-2</v>
      </c>
      <c r="R115" s="2">
        <v>10</v>
      </c>
      <c r="S115" s="4">
        <v>2556303.317280001</v>
      </c>
      <c r="T115" s="4">
        <v>2556303.317280001</v>
      </c>
      <c r="U115">
        <v>298.223455</v>
      </c>
      <c r="V115" s="2">
        <v>10</v>
      </c>
    </row>
    <row r="116" spans="1:22" x14ac:dyDescent="0.3">
      <c r="A116" t="s">
        <v>132</v>
      </c>
      <c r="B116" t="s">
        <v>134</v>
      </c>
      <c r="C116" s="2">
        <v>2000</v>
      </c>
      <c r="D116" s="2">
        <v>200</v>
      </c>
      <c r="E116" s="3">
        <v>3.24225E-2</v>
      </c>
      <c r="F116" s="4">
        <v>9494735.3414900005</v>
      </c>
      <c r="G116" s="4">
        <v>9494735.3414900042</v>
      </c>
      <c r="H116" s="4">
        <v>9494735.3414900135</v>
      </c>
      <c r="I116" s="4">
        <v>1.2505E-2</v>
      </c>
      <c r="J116" s="2">
        <v>10</v>
      </c>
      <c r="K116" s="4">
        <v>9494735.3414900042</v>
      </c>
      <c r="L116" s="4">
        <v>9494735.3414900173</v>
      </c>
      <c r="M116" s="4">
        <v>1.2503999999999999E-2</v>
      </c>
      <c r="N116" s="2">
        <v>10</v>
      </c>
      <c r="O116" s="4">
        <v>9494735.3414900042</v>
      </c>
      <c r="P116" s="4">
        <v>9494735.3414900191</v>
      </c>
      <c r="Q116" s="4">
        <v>1.2375000000000001E-2</v>
      </c>
      <c r="R116" s="2">
        <v>10</v>
      </c>
      <c r="S116" s="4">
        <v>9494735.3414900191</v>
      </c>
      <c r="T116" s="4">
        <v>9494735.3414900191</v>
      </c>
      <c r="U116">
        <v>237.90204700000001</v>
      </c>
      <c r="V116" s="2">
        <v>10</v>
      </c>
    </row>
    <row r="117" spans="1:22" x14ac:dyDescent="0.3">
      <c r="A117" t="s">
        <v>132</v>
      </c>
      <c r="B117" t="s">
        <v>135</v>
      </c>
      <c r="C117" s="2">
        <v>2000</v>
      </c>
      <c r="D117" s="2">
        <v>300</v>
      </c>
      <c r="E117" s="3">
        <v>3.24225E-2</v>
      </c>
      <c r="F117" s="4">
        <v>15187740.87438</v>
      </c>
      <c r="G117" s="4">
        <v>15187740.874380067</v>
      </c>
      <c r="H117" s="4">
        <v>15187740.874380058</v>
      </c>
      <c r="I117" s="4">
        <v>1.3683000000000001E-2</v>
      </c>
      <c r="J117" s="2">
        <v>10</v>
      </c>
      <c r="K117" s="4">
        <v>15187740.874380067</v>
      </c>
      <c r="L117" s="4">
        <v>15187740.874380058</v>
      </c>
      <c r="M117" s="4">
        <v>1.337E-2</v>
      </c>
      <c r="N117" s="2">
        <v>10</v>
      </c>
      <c r="O117" s="4">
        <v>15187740.874380067</v>
      </c>
      <c r="P117" s="4">
        <v>15187740.874380058</v>
      </c>
      <c r="Q117" s="4">
        <v>1.3316E-2</v>
      </c>
      <c r="R117" s="2">
        <v>10</v>
      </c>
      <c r="S117" s="4">
        <v>15187740.874380058</v>
      </c>
      <c r="T117" s="4">
        <v>15187740.874380058</v>
      </c>
      <c r="U117">
        <v>302.83729199999999</v>
      </c>
      <c r="V117" s="2">
        <v>10</v>
      </c>
    </row>
    <row r="118" spans="1:22" x14ac:dyDescent="0.3">
      <c r="A118" t="s">
        <v>132</v>
      </c>
      <c r="B118" t="s">
        <v>136</v>
      </c>
      <c r="C118" s="2">
        <v>2000</v>
      </c>
      <c r="D118" s="2">
        <v>400</v>
      </c>
      <c r="E118" s="3">
        <v>3.24225E-2</v>
      </c>
      <c r="F118" s="4">
        <v>19725322.192839999</v>
      </c>
      <c r="G118" s="4">
        <v>19725322.192840032</v>
      </c>
      <c r="H118" s="4">
        <v>19725322.192840047</v>
      </c>
      <c r="I118" s="4">
        <v>1.4625000000000001E-2</v>
      </c>
      <c r="J118" s="2">
        <v>10</v>
      </c>
      <c r="K118" s="4">
        <v>19725322.192840032</v>
      </c>
      <c r="L118" s="4">
        <v>19725322.192840062</v>
      </c>
      <c r="M118" s="4">
        <v>1.4145E-2</v>
      </c>
      <c r="N118" s="2">
        <v>10</v>
      </c>
      <c r="O118" s="4">
        <v>19725322.192840032</v>
      </c>
      <c r="P118" s="4">
        <v>19725322.192840058</v>
      </c>
      <c r="Q118" s="4">
        <v>1.4244E-2</v>
      </c>
      <c r="R118" s="2">
        <v>10</v>
      </c>
      <c r="S118" s="4">
        <v>19725322.192840058</v>
      </c>
      <c r="T118" s="4">
        <v>19725322.192840058</v>
      </c>
      <c r="U118">
        <v>351.73281300000002</v>
      </c>
      <c r="V118" s="2">
        <v>10</v>
      </c>
    </row>
    <row r="119" spans="1:22" x14ac:dyDescent="0.3">
      <c r="A119" t="s">
        <v>132</v>
      </c>
      <c r="B119" t="s">
        <v>137</v>
      </c>
      <c r="C119" s="2">
        <v>2000</v>
      </c>
      <c r="D119" s="2">
        <v>500</v>
      </c>
      <c r="E119" s="3">
        <v>3.24225E-2</v>
      </c>
      <c r="F119" s="4">
        <v>23805405.245379999</v>
      </c>
      <c r="G119" s="4">
        <v>23805405.245379958</v>
      </c>
      <c r="H119" s="4">
        <v>23805405.245379958</v>
      </c>
      <c r="I119" s="4">
        <v>1.5036000000000001E-2</v>
      </c>
      <c r="J119" s="2">
        <v>10</v>
      </c>
      <c r="K119" s="4">
        <v>23805405.245379958</v>
      </c>
      <c r="L119" s="4">
        <v>23805405.245379969</v>
      </c>
      <c r="M119" s="4">
        <v>1.3520000000000001E-2</v>
      </c>
      <c r="N119" s="2">
        <v>10</v>
      </c>
      <c r="O119" s="4">
        <v>23805405.245379958</v>
      </c>
      <c r="P119" s="4">
        <v>23805405.245379962</v>
      </c>
      <c r="Q119" s="4">
        <v>1.34E-2</v>
      </c>
      <c r="R119" s="2">
        <v>10</v>
      </c>
      <c r="S119" s="4">
        <v>23805405.245379962</v>
      </c>
      <c r="T119" s="4">
        <v>23805405.245379962</v>
      </c>
      <c r="U119">
        <v>191.055635</v>
      </c>
      <c r="V119" s="2">
        <v>10</v>
      </c>
    </row>
    <row r="120" spans="1:22" x14ac:dyDescent="0.3">
      <c r="A120" t="s">
        <v>132</v>
      </c>
      <c r="B120" t="s">
        <v>138</v>
      </c>
      <c r="C120" s="2">
        <v>3000</v>
      </c>
      <c r="D120" s="2">
        <v>100</v>
      </c>
      <c r="E120" s="3">
        <v>3.1032220000000003E-2</v>
      </c>
      <c r="F120" s="4">
        <v>2598096.7581699998</v>
      </c>
      <c r="G120" s="4">
        <v>2598096.7581699989</v>
      </c>
      <c r="H120" s="4">
        <v>2598096.7581700012</v>
      </c>
      <c r="I120" s="4">
        <v>4.8136989999999997</v>
      </c>
      <c r="J120" s="2">
        <v>10</v>
      </c>
      <c r="K120" s="4">
        <v>2598096.758170004</v>
      </c>
      <c r="L120" s="4">
        <v>2598096.7581700021</v>
      </c>
      <c r="M120" s="4">
        <v>0.50997700000000001</v>
      </c>
      <c r="N120" s="2">
        <v>10</v>
      </c>
      <c r="O120" s="4">
        <v>2598096.758170004</v>
      </c>
      <c r="P120" s="4">
        <v>2598096.7581700031</v>
      </c>
      <c r="Q120" s="4">
        <v>0.18010599999999999</v>
      </c>
      <c r="R120" s="2">
        <v>10</v>
      </c>
      <c r="S120" s="4">
        <v>2598096.7581700031</v>
      </c>
      <c r="T120" s="4">
        <v>2598096.7581700031</v>
      </c>
      <c r="U120">
        <v>376.84949899999998</v>
      </c>
      <c r="V120" s="2">
        <v>10</v>
      </c>
    </row>
    <row r="121" spans="1:22" x14ac:dyDescent="0.3">
      <c r="A121" t="s">
        <v>132</v>
      </c>
      <c r="B121" t="s">
        <v>139</v>
      </c>
      <c r="C121" s="2">
        <v>3000</v>
      </c>
      <c r="D121" s="2">
        <v>200</v>
      </c>
      <c r="E121" s="3">
        <v>3.1032220000000003E-2</v>
      </c>
      <c r="F121" s="4">
        <v>10099263.94359</v>
      </c>
      <c r="G121" s="4">
        <v>10099263.94359001</v>
      </c>
      <c r="H121" s="4">
        <v>10099263.943590015</v>
      </c>
      <c r="I121" s="4">
        <v>2.8086E-2</v>
      </c>
      <c r="J121" s="2">
        <v>10</v>
      </c>
      <c r="K121" s="4">
        <v>10099263.94359001</v>
      </c>
      <c r="L121" s="4">
        <v>10099263.943590024</v>
      </c>
      <c r="M121" s="4">
        <v>2.7196999999999999E-2</v>
      </c>
      <c r="N121" s="2">
        <v>10</v>
      </c>
      <c r="O121" s="4">
        <v>10099263.94359001</v>
      </c>
      <c r="P121" s="4">
        <v>10099263.943590021</v>
      </c>
      <c r="Q121" s="4">
        <v>2.7104E-2</v>
      </c>
      <c r="R121" s="2">
        <v>10</v>
      </c>
      <c r="S121" s="4">
        <v>10099263.943590021</v>
      </c>
      <c r="T121" s="4">
        <v>10099263.943590021</v>
      </c>
      <c r="U121">
        <v>329.52936599999998</v>
      </c>
      <c r="V121" s="2">
        <v>10</v>
      </c>
    </row>
    <row r="122" spans="1:22" x14ac:dyDescent="0.3">
      <c r="A122" t="s">
        <v>132</v>
      </c>
      <c r="B122" t="s">
        <v>140</v>
      </c>
      <c r="C122" s="2">
        <v>3000</v>
      </c>
      <c r="D122" s="2">
        <v>300</v>
      </c>
      <c r="E122" s="3">
        <v>3.1032220000000003E-2</v>
      </c>
      <c r="F122" s="4">
        <v>21260902.726679999</v>
      </c>
      <c r="G122" s="4">
        <v>21260902.726679966</v>
      </c>
      <c r="H122" s="4">
        <v>21260902.726679996</v>
      </c>
      <c r="I122" s="4">
        <v>2.7716000000000001E-2</v>
      </c>
      <c r="J122" s="2">
        <v>10</v>
      </c>
      <c r="K122" s="4">
        <v>21260902.726679966</v>
      </c>
      <c r="L122" s="4">
        <v>21260902.726680003</v>
      </c>
      <c r="M122" s="4">
        <v>2.6599000000000001E-2</v>
      </c>
      <c r="N122" s="2">
        <v>10</v>
      </c>
      <c r="O122" s="4">
        <v>21260902.726679966</v>
      </c>
      <c r="P122" s="4">
        <v>21260902.726679999</v>
      </c>
      <c r="Q122" s="4">
        <v>2.6723E-2</v>
      </c>
      <c r="R122" s="2">
        <v>10</v>
      </c>
      <c r="S122" s="4">
        <v>21260902.726679999</v>
      </c>
      <c r="T122" s="4">
        <v>21260902.726679999</v>
      </c>
      <c r="U122">
        <v>233.55382700000001</v>
      </c>
      <c r="V122" s="2">
        <v>10</v>
      </c>
    </row>
    <row r="123" spans="1:22" x14ac:dyDescent="0.3">
      <c r="A123" t="s">
        <v>132</v>
      </c>
      <c r="B123" t="s">
        <v>141</v>
      </c>
      <c r="C123" s="2">
        <v>3000</v>
      </c>
      <c r="D123" s="2">
        <v>400</v>
      </c>
      <c r="E123" s="3">
        <v>3.1032220000000003E-2</v>
      </c>
      <c r="F123" s="4">
        <v>30495483.292709999</v>
      </c>
      <c r="G123" s="4">
        <v>30495483.292710025</v>
      </c>
      <c r="H123" s="4">
        <v>30495483.292710058</v>
      </c>
      <c r="I123" s="4">
        <v>2.9345E-2</v>
      </c>
      <c r="J123" s="2">
        <v>10</v>
      </c>
      <c r="K123" s="4">
        <v>30495483.292710025</v>
      </c>
      <c r="L123" s="4">
        <v>30495483.292710058</v>
      </c>
      <c r="M123" s="4">
        <v>2.7917999999999998E-2</v>
      </c>
      <c r="N123" s="2">
        <v>10</v>
      </c>
      <c r="O123" s="4">
        <v>30495483.292710025</v>
      </c>
      <c r="P123" s="4">
        <v>30495483.292710066</v>
      </c>
      <c r="Q123" s="4">
        <v>2.8056000000000001E-2</v>
      </c>
      <c r="R123" s="2">
        <v>10</v>
      </c>
      <c r="S123" s="4">
        <v>30495483.292710066</v>
      </c>
      <c r="T123" s="4">
        <v>30495483.292710066</v>
      </c>
      <c r="U123">
        <v>275.878378</v>
      </c>
      <c r="V123" s="2">
        <v>10</v>
      </c>
    </row>
    <row r="124" spans="1:22" x14ac:dyDescent="0.3">
      <c r="A124" t="s">
        <v>132</v>
      </c>
      <c r="B124" t="s">
        <v>142</v>
      </c>
      <c r="C124" s="2">
        <v>3000</v>
      </c>
      <c r="D124" s="2">
        <v>500</v>
      </c>
      <c r="E124" s="3">
        <v>3.1032220000000003E-2</v>
      </c>
      <c r="F124" s="4">
        <v>38032901.950429998</v>
      </c>
      <c r="G124" s="4">
        <v>38032901.950430095</v>
      </c>
      <c r="H124" s="4">
        <v>38032901.95043005</v>
      </c>
      <c r="I124" s="4">
        <v>3.0047000000000001E-2</v>
      </c>
      <c r="J124" s="2">
        <v>10</v>
      </c>
      <c r="K124" s="4">
        <v>38032901.950430095</v>
      </c>
      <c r="L124" s="4">
        <v>38032901.950430103</v>
      </c>
      <c r="M124" s="4">
        <v>2.8472000000000001E-2</v>
      </c>
      <c r="N124" s="2">
        <v>10</v>
      </c>
      <c r="O124" s="4">
        <v>38032901.950430095</v>
      </c>
      <c r="P124" s="4">
        <v>38032901.95043011</v>
      </c>
      <c r="Q124" s="4">
        <v>2.7817999999999999E-2</v>
      </c>
      <c r="R124" s="2">
        <v>10</v>
      </c>
      <c r="S124" s="4">
        <v>38032901.95043011</v>
      </c>
      <c r="T124" s="4">
        <v>38032901.95043011</v>
      </c>
      <c r="U124">
        <v>259.37766399999998</v>
      </c>
      <c r="V124" s="2">
        <v>10</v>
      </c>
    </row>
    <row r="125" spans="1:22" x14ac:dyDescent="0.3">
      <c r="A125" t="s">
        <v>132</v>
      </c>
      <c r="B125" t="s">
        <v>143</v>
      </c>
      <c r="C125" s="2">
        <v>5000</v>
      </c>
      <c r="D125" s="2">
        <v>100</v>
      </c>
      <c r="E125" s="3">
        <v>2.930408E-2</v>
      </c>
      <c r="F125" s="4">
        <v>2638633.79544</v>
      </c>
      <c r="G125" s="4">
        <v>2638633.7954399991</v>
      </c>
      <c r="H125" s="4">
        <v>2638633.79544</v>
      </c>
      <c r="I125" s="4">
        <v>1.348508</v>
      </c>
      <c r="J125" s="2">
        <v>10</v>
      </c>
      <c r="K125" s="4">
        <v>2638633.7954399972</v>
      </c>
      <c r="L125" s="4">
        <v>2638633.7954399991</v>
      </c>
      <c r="M125" s="4">
        <v>0.10093299999999999</v>
      </c>
      <c r="N125" s="2">
        <v>10</v>
      </c>
      <c r="O125" s="4">
        <v>2638633.7954400009</v>
      </c>
      <c r="P125" s="4">
        <v>2638633.7954399991</v>
      </c>
      <c r="Q125" s="4">
        <v>7.9926999999999998E-2</v>
      </c>
      <c r="R125" s="2">
        <v>10</v>
      </c>
      <c r="S125" s="4">
        <v>2638633.7954399991</v>
      </c>
      <c r="T125" s="4">
        <v>2638633.7954399991</v>
      </c>
      <c r="U125">
        <v>346.66172799999998</v>
      </c>
      <c r="V125" s="2">
        <v>10</v>
      </c>
    </row>
    <row r="126" spans="1:22" x14ac:dyDescent="0.3">
      <c r="A126" t="s">
        <v>132</v>
      </c>
      <c r="B126" t="s">
        <v>144</v>
      </c>
      <c r="C126" s="2">
        <v>5000</v>
      </c>
      <c r="D126" s="2">
        <v>200</v>
      </c>
      <c r="E126" s="3">
        <v>2.930408E-2</v>
      </c>
      <c r="F126" s="4">
        <v>10338565.46539</v>
      </c>
      <c r="G126" s="4">
        <v>10338565.465389989</v>
      </c>
      <c r="H126" s="4">
        <v>10338565.46539</v>
      </c>
      <c r="I126" s="4">
        <v>7.3023000000000005E-2</v>
      </c>
      <c r="J126" s="2">
        <v>10</v>
      </c>
      <c r="K126" s="4">
        <v>10338565.465389989</v>
      </c>
      <c r="L126" s="4">
        <v>10338565.46539</v>
      </c>
      <c r="M126" s="4">
        <v>7.4015999999999998E-2</v>
      </c>
      <c r="N126" s="2">
        <v>10</v>
      </c>
      <c r="O126" s="4">
        <v>10338565.465389989</v>
      </c>
      <c r="P126" s="4">
        <v>10338565.465390002</v>
      </c>
      <c r="Q126" s="4">
        <v>7.4448E-2</v>
      </c>
      <c r="R126" s="2">
        <v>10</v>
      </c>
      <c r="S126" s="4">
        <v>10338565.465390002</v>
      </c>
      <c r="T126" s="4">
        <v>10338565.465390002</v>
      </c>
      <c r="U126">
        <v>300.84537399999999</v>
      </c>
      <c r="V126" s="2">
        <v>10</v>
      </c>
    </row>
    <row r="127" spans="1:22" x14ac:dyDescent="0.3">
      <c r="A127" t="s">
        <v>132</v>
      </c>
      <c r="B127" t="s">
        <v>145</v>
      </c>
      <c r="C127" s="2">
        <v>5000</v>
      </c>
      <c r="D127" s="2">
        <v>300</v>
      </c>
      <c r="E127" s="3">
        <v>2.930408E-2</v>
      </c>
      <c r="F127" s="4">
        <v>22840863.487539999</v>
      </c>
      <c r="G127" s="4">
        <v>22840863.487540085</v>
      </c>
      <c r="H127" s="4">
        <v>22840863.487540085</v>
      </c>
      <c r="I127" s="4">
        <v>7.6270000000000004E-2</v>
      </c>
      <c r="J127" s="2">
        <v>10</v>
      </c>
      <c r="K127" s="4">
        <v>22840863.487540085</v>
      </c>
      <c r="L127" s="4">
        <v>22840863.487540144</v>
      </c>
      <c r="M127" s="4">
        <v>7.5963000000000003E-2</v>
      </c>
      <c r="N127" s="2">
        <v>10</v>
      </c>
      <c r="O127" s="4">
        <v>22840863.487540085</v>
      </c>
      <c r="P127" s="4">
        <v>22840863.487540152</v>
      </c>
      <c r="Q127" s="4">
        <v>7.5937000000000004E-2</v>
      </c>
      <c r="R127" s="2">
        <v>10</v>
      </c>
      <c r="S127" s="4">
        <v>22840863.487540152</v>
      </c>
      <c r="T127" s="4">
        <v>22840863.487540152</v>
      </c>
      <c r="U127">
        <v>377.35427499999997</v>
      </c>
      <c r="V127" s="2">
        <v>10</v>
      </c>
    </row>
    <row r="128" spans="1:22" x14ac:dyDescent="0.3">
      <c r="A128" t="s">
        <v>132</v>
      </c>
      <c r="B128" t="s">
        <v>146</v>
      </c>
      <c r="C128" s="2">
        <v>5000</v>
      </c>
      <c r="D128" s="2">
        <v>400</v>
      </c>
      <c r="E128" s="3">
        <v>2.930408E-2</v>
      </c>
      <c r="F128" s="4">
        <v>39458662.298770003</v>
      </c>
      <c r="G128" s="4">
        <v>39458662.29876978</v>
      </c>
      <c r="H128" s="4">
        <v>39458662.298769638</v>
      </c>
      <c r="I128" s="4">
        <v>7.5360999999999997E-2</v>
      </c>
      <c r="J128" s="2">
        <v>10</v>
      </c>
      <c r="K128" s="4">
        <v>39458662.29876978</v>
      </c>
      <c r="L128" s="4">
        <v>39458662.298769698</v>
      </c>
      <c r="M128" s="4">
        <v>7.4728000000000003E-2</v>
      </c>
      <c r="N128" s="2">
        <v>10</v>
      </c>
      <c r="O128" s="4">
        <v>39458662.29876978</v>
      </c>
      <c r="P128" s="4">
        <v>39458662.298769698</v>
      </c>
      <c r="Q128" s="4">
        <v>7.3541999999999996E-2</v>
      </c>
      <c r="R128" s="2">
        <v>10</v>
      </c>
      <c r="S128" s="4">
        <v>39458662.298769698</v>
      </c>
      <c r="T128" s="4">
        <v>39458662.298769698</v>
      </c>
      <c r="U128">
        <v>301.57415099999997</v>
      </c>
      <c r="V128" s="2">
        <v>10</v>
      </c>
    </row>
    <row r="129" spans="1:22" x14ac:dyDescent="0.3">
      <c r="A129" t="s">
        <v>132</v>
      </c>
      <c r="B129" t="s">
        <v>147</v>
      </c>
      <c r="C129" s="2">
        <v>5000</v>
      </c>
      <c r="D129" s="2">
        <v>500</v>
      </c>
      <c r="E129" s="3">
        <v>2.930408E-2</v>
      </c>
      <c r="F129" s="4">
        <v>55943547.515639998</v>
      </c>
      <c r="G129" s="4">
        <v>55943547.515639462</v>
      </c>
      <c r="H129" s="4">
        <v>55943547.515639402</v>
      </c>
      <c r="I129" s="4">
        <v>7.5628000000000001E-2</v>
      </c>
      <c r="J129" s="2">
        <v>10</v>
      </c>
      <c r="K129" s="4">
        <v>55943547.515639462</v>
      </c>
      <c r="L129" s="4">
        <v>55943547.515639447</v>
      </c>
      <c r="M129" s="4">
        <v>7.4792999999999998E-2</v>
      </c>
      <c r="N129" s="2">
        <v>10</v>
      </c>
      <c r="O129" s="4">
        <v>55943547.515639462</v>
      </c>
      <c r="P129" s="4">
        <v>55943547.515639521</v>
      </c>
      <c r="Q129" s="4">
        <v>7.442E-2</v>
      </c>
      <c r="R129" s="2">
        <v>10</v>
      </c>
      <c r="S129" s="4">
        <v>55943547.515639521</v>
      </c>
      <c r="T129" s="4">
        <v>55943547.515639521</v>
      </c>
      <c r="U129">
        <v>314.52542099999999</v>
      </c>
      <c r="V129" s="2">
        <v>10</v>
      </c>
    </row>
    <row r="130" spans="1:22" x14ac:dyDescent="0.3">
      <c r="A130" t="s">
        <v>132</v>
      </c>
      <c r="B130" t="s">
        <v>148</v>
      </c>
      <c r="C130" s="2">
        <v>6000</v>
      </c>
      <c r="D130" s="2">
        <v>100</v>
      </c>
      <c r="E130" s="3">
        <v>3.1367609999999997E-2</v>
      </c>
      <c r="F130" s="4">
        <v>2640537.36674</v>
      </c>
      <c r="G130" s="4">
        <v>2640537.3667399939</v>
      </c>
      <c r="H130" s="4">
        <v>2640537.3667399948</v>
      </c>
      <c r="I130" s="4">
        <v>0.10462</v>
      </c>
      <c r="J130" s="2">
        <v>10</v>
      </c>
      <c r="K130" s="4">
        <v>2640537.3667399939</v>
      </c>
      <c r="L130" s="4">
        <v>2640537.3667399948</v>
      </c>
      <c r="M130" s="4">
        <v>0.103034</v>
      </c>
      <c r="N130" s="2">
        <v>10</v>
      </c>
      <c r="O130" s="4">
        <v>2640537.3667399939</v>
      </c>
      <c r="P130" s="4">
        <v>2640537.3667399948</v>
      </c>
      <c r="Q130" s="4">
        <v>0.102325</v>
      </c>
      <c r="R130" s="2">
        <v>10</v>
      </c>
      <c r="S130" s="4">
        <v>2640537.3667399948</v>
      </c>
      <c r="T130" s="4">
        <v>2640537.3667399948</v>
      </c>
      <c r="U130">
        <v>334.23330700000002</v>
      </c>
      <c r="V130" s="2">
        <v>10</v>
      </c>
    </row>
    <row r="131" spans="1:22" x14ac:dyDescent="0.3">
      <c r="A131" t="s">
        <v>132</v>
      </c>
      <c r="B131" t="s">
        <v>149</v>
      </c>
      <c r="C131" s="2">
        <v>6000</v>
      </c>
      <c r="D131" s="2">
        <v>200</v>
      </c>
      <c r="E131" s="3">
        <v>3.1367609999999997E-2</v>
      </c>
      <c r="F131" s="4">
        <v>10399062.54644</v>
      </c>
      <c r="G131" s="4">
        <v>10399062.546439994</v>
      </c>
      <c r="H131" s="4">
        <v>10399062.546440007</v>
      </c>
      <c r="I131" s="4">
        <v>0.107394</v>
      </c>
      <c r="J131" s="2">
        <v>10</v>
      </c>
      <c r="K131" s="4">
        <v>10399062.546439994</v>
      </c>
      <c r="L131" s="4">
        <v>10399062.546440011</v>
      </c>
      <c r="M131" s="4">
        <v>0.106254</v>
      </c>
      <c r="N131" s="2">
        <v>10</v>
      </c>
      <c r="O131" s="4">
        <v>10399062.546439994</v>
      </c>
      <c r="P131" s="4">
        <v>10399062.546440011</v>
      </c>
      <c r="Q131" s="4">
        <v>0.106598</v>
      </c>
      <c r="R131" s="2">
        <v>10</v>
      </c>
      <c r="S131" s="4">
        <v>10399062.546440011</v>
      </c>
      <c r="T131" s="4">
        <v>10399062.546440011</v>
      </c>
      <c r="U131">
        <v>421.22399999999999</v>
      </c>
      <c r="V131" s="2">
        <v>10</v>
      </c>
    </row>
    <row r="132" spans="1:22" x14ac:dyDescent="0.3">
      <c r="A132" t="s">
        <v>132</v>
      </c>
      <c r="B132" t="s">
        <v>150</v>
      </c>
      <c r="C132" s="2">
        <v>6000</v>
      </c>
      <c r="D132" s="2">
        <v>300</v>
      </c>
      <c r="E132" s="3">
        <v>3.1367609999999997E-2</v>
      </c>
      <c r="F132" s="4">
        <v>23074932.414009999</v>
      </c>
      <c r="G132" s="4">
        <v>23074932.414010189</v>
      </c>
      <c r="H132" s="4">
        <v>23074932.414010108</v>
      </c>
      <c r="I132" s="4">
        <v>0.114671</v>
      </c>
      <c r="J132" s="2">
        <v>10</v>
      </c>
      <c r="K132" s="4">
        <v>23074932.414010189</v>
      </c>
      <c r="L132" s="4">
        <v>23074932.414010115</v>
      </c>
      <c r="M132" s="4">
        <v>0.111249</v>
      </c>
      <c r="N132" s="2">
        <v>10</v>
      </c>
      <c r="O132" s="4">
        <v>23074932.414010189</v>
      </c>
      <c r="P132" s="4">
        <v>23074932.414010115</v>
      </c>
      <c r="Q132" s="4">
        <v>0.111732</v>
      </c>
      <c r="R132" s="2">
        <v>10</v>
      </c>
      <c r="S132" s="4">
        <v>23074932.414010115</v>
      </c>
      <c r="T132" s="4">
        <v>23074932.414010115</v>
      </c>
      <c r="U132">
        <v>418.40869700000002</v>
      </c>
      <c r="V132" s="2">
        <v>10</v>
      </c>
    </row>
    <row r="133" spans="1:22" x14ac:dyDescent="0.3">
      <c r="A133" t="s">
        <v>132</v>
      </c>
      <c r="B133" t="s">
        <v>151</v>
      </c>
      <c r="C133" s="2">
        <v>6000</v>
      </c>
      <c r="D133" s="2">
        <v>400</v>
      </c>
      <c r="E133" s="3">
        <v>3.1367609999999997E-2</v>
      </c>
      <c r="F133" s="4">
        <v>40469681.932109997</v>
      </c>
      <c r="G133" s="4">
        <v>40469681.932109892</v>
      </c>
      <c r="H133" s="4">
        <v>40469681.932109766</v>
      </c>
      <c r="I133" s="4">
        <v>0.10942399999999999</v>
      </c>
      <c r="J133" s="2">
        <v>10</v>
      </c>
      <c r="K133" s="4">
        <v>40469681.932109892</v>
      </c>
      <c r="L133" s="4">
        <v>40469681.932109766</v>
      </c>
      <c r="M133" s="4">
        <v>0.109875</v>
      </c>
      <c r="N133" s="2">
        <v>10</v>
      </c>
      <c r="O133" s="4">
        <v>40469681.932109892</v>
      </c>
      <c r="P133" s="4">
        <v>40469681.932109803</v>
      </c>
      <c r="Q133" s="4">
        <v>0.10816000000000001</v>
      </c>
      <c r="R133" s="2">
        <v>10</v>
      </c>
      <c r="S133" s="4">
        <v>40469681.932109803</v>
      </c>
      <c r="T133" s="4">
        <v>40469681.932109803</v>
      </c>
      <c r="U133">
        <v>340.09150799999998</v>
      </c>
      <c r="V133" s="2">
        <v>10</v>
      </c>
    </row>
    <row r="134" spans="1:22" x14ac:dyDescent="0.3">
      <c r="A134" t="s">
        <v>132</v>
      </c>
      <c r="B134" t="s">
        <v>152</v>
      </c>
      <c r="C134" s="2">
        <v>6000</v>
      </c>
      <c r="D134" s="2">
        <v>500</v>
      </c>
      <c r="E134" s="3">
        <v>3.1367609999999997E-2</v>
      </c>
      <c r="F134" s="4">
        <v>62332519.393469997</v>
      </c>
      <c r="G134" s="4">
        <v>62332519.393469982</v>
      </c>
      <c r="H134" s="4">
        <v>62332519.393470071</v>
      </c>
      <c r="I134" s="4">
        <v>0.10406700000000001</v>
      </c>
      <c r="J134" s="2">
        <v>10</v>
      </c>
      <c r="K134" s="4">
        <v>62332519.393469982</v>
      </c>
      <c r="L134" s="4">
        <v>62332519.393470109</v>
      </c>
      <c r="M134" s="4">
        <v>0.109138</v>
      </c>
      <c r="N134" s="2">
        <v>10</v>
      </c>
      <c r="O134" s="4">
        <v>62332519.393469982</v>
      </c>
      <c r="P134" s="4">
        <v>62332519.393470183</v>
      </c>
      <c r="Q134" s="4">
        <v>0.108733</v>
      </c>
      <c r="R134" s="2">
        <v>10</v>
      </c>
      <c r="S134" s="4">
        <v>62332519.393470183</v>
      </c>
      <c r="T134" s="4">
        <v>62332519.393470183</v>
      </c>
      <c r="U134">
        <v>258.91421100000002</v>
      </c>
      <c r="V134" s="2">
        <v>10</v>
      </c>
    </row>
    <row r="135" spans="1:22" x14ac:dyDescent="0.3">
      <c r="A135" s="7" t="s">
        <v>364</v>
      </c>
      <c r="B135" s="7"/>
      <c r="C135" s="8"/>
      <c r="D135" s="8"/>
      <c r="E135" s="9"/>
      <c r="F135" s="10"/>
      <c r="G135" s="10"/>
      <c r="H135" s="10"/>
      <c r="I135" s="10">
        <f>AVERAGE(I115:I134)</f>
        <v>0.35929904999999995</v>
      </c>
      <c r="J135" s="8">
        <f>SUM(J115:J134)</f>
        <v>200</v>
      </c>
      <c r="K135" s="10"/>
      <c r="L135" s="10"/>
      <c r="M135" s="10">
        <f>AVERAGE(M115:M134)</f>
        <v>8.1317850000000011E-2</v>
      </c>
      <c r="N135" s="8">
        <f>SUM(N115:N134)</f>
        <v>200</v>
      </c>
      <c r="O135" s="10"/>
      <c r="P135" s="10"/>
      <c r="Q135" s="10">
        <f>AVERAGE(Q115:Q134)</f>
        <v>6.3572500000000004E-2</v>
      </c>
      <c r="R135" s="8">
        <f>SUM(R115:R134)</f>
        <v>200</v>
      </c>
      <c r="S135" s="8"/>
      <c r="T135" s="8"/>
      <c r="U135" s="10">
        <f>AVERAGE(U115:U134)</f>
        <v>313.53863240000004</v>
      </c>
      <c r="V135" s="8">
        <f>SUM(V115:V134)</f>
        <v>200</v>
      </c>
    </row>
    <row r="136" spans="1:22" x14ac:dyDescent="0.3">
      <c r="A136" t="s">
        <v>153</v>
      </c>
      <c r="B136" t="s">
        <v>154</v>
      </c>
      <c r="C136" s="2">
        <v>2000</v>
      </c>
      <c r="D136" s="2">
        <v>200</v>
      </c>
      <c r="E136" s="3">
        <v>0.90848899999999999</v>
      </c>
      <c r="F136" s="4">
        <v>114271</v>
      </c>
      <c r="G136" s="4">
        <v>114271</v>
      </c>
      <c r="H136" s="4">
        <v>114271</v>
      </c>
      <c r="I136" s="4">
        <v>31.905957999999998</v>
      </c>
      <c r="J136" s="2">
        <v>10</v>
      </c>
      <c r="K136" s="4">
        <v>114271</v>
      </c>
      <c r="L136" s="4">
        <v>114271</v>
      </c>
      <c r="M136" s="4">
        <v>4.9965109999999999</v>
      </c>
      <c r="N136" s="2">
        <v>10</v>
      </c>
      <c r="O136" s="4">
        <v>114271</v>
      </c>
      <c r="P136" s="4">
        <v>114271</v>
      </c>
      <c r="Q136" s="4">
        <v>2.9499309999999999</v>
      </c>
      <c r="R136" s="2">
        <v>10</v>
      </c>
      <c r="S136" s="4">
        <v>114271</v>
      </c>
      <c r="T136" s="4">
        <v>114271</v>
      </c>
      <c r="U136">
        <v>11.508108999999999</v>
      </c>
      <c r="V136" s="2">
        <v>10</v>
      </c>
    </row>
    <row r="137" spans="1:22" x14ac:dyDescent="0.3">
      <c r="A137" t="s">
        <v>153</v>
      </c>
      <c r="B137" t="s">
        <v>155</v>
      </c>
      <c r="C137" s="2">
        <v>2000</v>
      </c>
      <c r="D137" s="2">
        <v>200</v>
      </c>
      <c r="E137" s="3">
        <v>0.90864800000000001</v>
      </c>
      <c r="F137" s="4">
        <v>114327</v>
      </c>
      <c r="G137" s="4">
        <v>114327</v>
      </c>
      <c r="H137" s="4">
        <v>114327</v>
      </c>
      <c r="I137" s="4">
        <v>10.482842</v>
      </c>
      <c r="J137" s="2">
        <v>10</v>
      </c>
      <c r="K137" s="4">
        <v>114327</v>
      </c>
      <c r="L137" s="4">
        <v>114327</v>
      </c>
      <c r="M137" s="4">
        <v>0.83064499999999997</v>
      </c>
      <c r="N137" s="2">
        <v>10</v>
      </c>
      <c r="O137" s="4">
        <v>114327</v>
      </c>
      <c r="P137" s="4">
        <v>114327</v>
      </c>
      <c r="Q137" s="4">
        <v>0.432255</v>
      </c>
      <c r="R137" s="2">
        <v>10</v>
      </c>
      <c r="S137" s="4">
        <v>114327</v>
      </c>
      <c r="T137" s="4">
        <v>114327</v>
      </c>
      <c r="U137">
        <v>2.9344260000000002</v>
      </c>
      <c r="V137" s="2">
        <v>10</v>
      </c>
    </row>
    <row r="138" spans="1:22" x14ac:dyDescent="0.3">
      <c r="A138" t="s">
        <v>153</v>
      </c>
      <c r="B138" t="s">
        <v>156</v>
      </c>
      <c r="C138" s="2">
        <v>2000</v>
      </c>
      <c r="D138" s="2">
        <v>200</v>
      </c>
      <c r="E138" s="3">
        <v>0.90876800000000002</v>
      </c>
      <c r="F138" s="4">
        <v>114195</v>
      </c>
      <c r="G138" s="4">
        <v>114195</v>
      </c>
      <c r="H138" s="4">
        <v>114195</v>
      </c>
      <c r="I138" s="4">
        <v>60.277123000000003</v>
      </c>
      <c r="J138" s="2">
        <v>10</v>
      </c>
      <c r="K138" s="4">
        <v>114195</v>
      </c>
      <c r="L138" s="4">
        <v>114195</v>
      </c>
      <c r="M138" s="4">
        <v>8.1151800000000005</v>
      </c>
      <c r="N138" s="2">
        <v>10</v>
      </c>
      <c r="O138" s="4">
        <v>114195</v>
      </c>
      <c r="P138" s="4">
        <v>114195</v>
      </c>
      <c r="Q138" s="4">
        <v>2.0576400000000001</v>
      </c>
      <c r="R138" s="2">
        <v>10</v>
      </c>
      <c r="S138" s="4">
        <v>114195</v>
      </c>
      <c r="T138" s="4">
        <v>114195</v>
      </c>
      <c r="U138">
        <v>17.909652000000001</v>
      </c>
      <c r="V138" s="2">
        <v>10</v>
      </c>
    </row>
    <row r="139" spans="1:22" x14ac:dyDescent="0.3">
      <c r="A139" t="s">
        <v>153</v>
      </c>
      <c r="B139" t="s">
        <v>157</v>
      </c>
      <c r="C139" s="2">
        <v>2000</v>
      </c>
      <c r="D139" s="2">
        <v>200</v>
      </c>
      <c r="E139" s="3">
        <v>0.90828149999999996</v>
      </c>
      <c r="F139" s="4">
        <v>114093</v>
      </c>
      <c r="G139" s="4">
        <v>114093</v>
      </c>
      <c r="H139" s="4">
        <v>114093</v>
      </c>
      <c r="I139" s="4">
        <v>200.06147899999999</v>
      </c>
      <c r="J139" s="2">
        <v>10</v>
      </c>
      <c r="K139" s="4">
        <v>114093</v>
      </c>
      <c r="L139" s="4">
        <v>114093</v>
      </c>
      <c r="M139" s="4">
        <v>28.831036999999998</v>
      </c>
      <c r="N139" s="2">
        <v>10</v>
      </c>
      <c r="O139" s="4">
        <v>114093</v>
      </c>
      <c r="P139" s="4">
        <v>114093</v>
      </c>
      <c r="Q139" s="4">
        <v>12.867043000000001</v>
      </c>
      <c r="R139" s="2">
        <v>10</v>
      </c>
      <c r="S139" s="4">
        <v>114093</v>
      </c>
      <c r="T139" s="4">
        <v>114093</v>
      </c>
      <c r="U139">
        <v>42.108696000000002</v>
      </c>
      <c r="V139" s="2">
        <v>10</v>
      </c>
    </row>
    <row r="140" spans="1:22" x14ac:dyDescent="0.3">
      <c r="A140" t="s">
        <v>153</v>
      </c>
      <c r="B140" t="s">
        <v>158</v>
      </c>
      <c r="C140" s="2">
        <v>2000</v>
      </c>
      <c r="D140" s="2">
        <v>200</v>
      </c>
      <c r="E140" s="3">
        <v>0.908609</v>
      </c>
      <c r="F140" s="4">
        <v>114196</v>
      </c>
      <c r="G140" s="4">
        <v>114196</v>
      </c>
      <c r="H140" s="4">
        <v>114196</v>
      </c>
      <c r="I140" s="4">
        <v>141.64443399999999</v>
      </c>
      <c r="J140" s="2">
        <v>10</v>
      </c>
      <c r="K140" s="4">
        <v>114196</v>
      </c>
      <c r="L140" s="4">
        <v>114196</v>
      </c>
      <c r="M140" s="4">
        <v>18.771605999999998</v>
      </c>
      <c r="N140" s="2">
        <v>10</v>
      </c>
      <c r="O140" s="4">
        <v>114196</v>
      </c>
      <c r="P140" s="4">
        <v>114196</v>
      </c>
      <c r="Q140" s="4">
        <v>8.8667870000000004</v>
      </c>
      <c r="R140" s="2">
        <v>10</v>
      </c>
      <c r="S140" s="4">
        <v>114196</v>
      </c>
      <c r="T140" s="4">
        <v>114196</v>
      </c>
      <c r="U140">
        <v>30.668590999999999</v>
      </c>
      <c r="V140" s="2">
        <v>10</v>
      </c>
    </row>
    <row r="141" spans="1:22" x14ac:dyDescent="0.3">
      <c r="A141" t="s">
        <v>153</v>
      </c>
      <c r="B141" t="s">
        <v>159</v>
      </c>
      <c r="C141" s="2">
        <v>2000</v>
      </c>
      <c r="D141" s="2">
        <v>200</v>
      </c>
      <c r="E141" s="3">
        <v>0.90871150000000001</v>
      </c>
      <c r="F141" s="4">
        <v>114265</v>
      </c>
      <c r="G141" s="4">
        <v>114265</v>
      </c>
      <c r="H141" s="4">
        <v>114265</v>
      </c>
      <c r="I141" s="4">
        <v>53.383997999999998</v>
      </c>
      <c r="J141" s="2">
        <v>10</v>
      </c>
      <c r="K141" s="4">
        <v>114265</v>
      </c>
      <c r="L141" s="4">
        <v>114265</v>
      </c>
      <c r="M141" s="4">
        <v>12.116758000000001</v>
      </c>
      <c r="N141" s="2">
        <v>10</v>
      </c>
      <c r="O141" s="4">
        <v>114265</v>
      </c>
      <c r="P141" s="4">
        <v>114265</v>
      </c>
      <c r="Q141" s="4">
        <v>3.122512</v>
      </c>
      <c r="R141" s="2">
        <v>10</v>
      </c>
      <c r="S141" s="4">
        <v>114265</v>
      </c>
      <c r="T141" s="4">
        <v>114265</v>
      </c>
      <c r="U141">
        <v>16.150577999999999</v>
      </c>
      <c r="V141" s="2">
        <v>10</v>
      </c>
    </row>
    <row r="142" spans="1:22" x14ac:dyDescent="0.3">
      <c r="A142" t="s">
        <v>153</v>
      </c>
      <c r="B142" t="s">
        <v>160</v>
      </c>
      <c r="C142" s="2">
        <v>2000</v>
      </c>
      <c r="D142" s="2">
        <v>200</v>
      </c>
      <c r="E142" s="3">
        <v>0.9088845000000001</v>
      </c>
      <c r="F142" s="4">
        <v>114361</v>
      </c>
      <c r="G142" s="4">
        <v>114361</v>
      </c>
      <c r="H142" s="4">
        <v>114361</v>
      </c>
      <c r="I142" s="4">
        <v>4.7882210000000001</v>
      </c>
      <c r="J142" s="2">
        <v>10</v>
      </c>
      <c r="K142" s="4">
        <v>114361</v>
      </c>
      <c r="L142" s="4">
        <v>114361</v>
      </c>
      <c r="M142" s="4">
        <v>0.72659499999999999</v>
      </c>
      <c r="N142" s="2">
        <v>10</v>
      </c>
      <c r="O142" s="4">
        <v>114361</v>
      </c>
      <c r="P142" s="4">
        <v>114361</v>
      </c>
      <c r="Q142" s="4">
        <v>0.49673699999999998</v>
      </c>
      <c r="R142" s="2">
        <v>10</v>
      </c>
      <c r="S142" s="4">
        <v>114361</v>
      </c>
      <c r="T142" s="4">
        <v>114361</v>
      </c>
      <c r="U142">
        <v>1.7588729999999999</v>
      </c>
      <c r="V142" s="2">
        <v>10</v>
      </c>
    </row>
    <row r="143" spans="1:22" x14ac:dyDescent="0.3">
      <c r="A143" t="s">
        <v>153</v>
      </c>
      <c r="B143" t="s">
        <v>161</v>
      </c>
      <c r="C143" s="2">
        <v>2000</v>
      </c>
      <c r="D143" s="2">
        <v>200</v>
      </c>
      <c r="E143" s="3">
        <v>0.90873400000000004</v>
      </c>
      <c r="F143" s="4">
        <v>114327</v>
      </c>
      <c r="G143" s="4">
        <v>114327</v>
      </c>
      <c r="H143" s="4">
        <v>114327</v>
      </c>
      <c r="I143" s="4">
        <v>8.9172949999999993</v>
      </c>
      <c r="J143" s="2">
        <v>10</v>
      </c>
      <c r="K143" s="4">
        <v>114327</v>
      </c>
      <c r="L143" s="4">
        <v>114327</v>
      </c>
      <c r="M143" s="4">
        <v>1.879084</v>
      </c>
      <c r="N143" s="2">
        <v>10</v>
      </c>
      <c r="O143" s="4">
        <v>114327</v>
      </c>
      <c r="P143" s="4">
        <v>114327</v>
      </c>
      <c r="Q143" s="4">
        <v>1.162088</v>
      </c>
      <c r="R143" s="2">
        <v>10</v>
      </c>
      <c r="S143" s="4">
        <v>114327</v>
      </c>
      <c r="T143" s="4">
        <v>114327</v>
      </c>
      <c r="U143">
        <v>6.1781750000000004</v>
      </c>
      <c r="V143" s="2">
        <v>10</v>
      </c>
    </row>
    <row r="144" spans="1:22" x14ac:dyDescent="0.3">
      <c r="A144" t="s">
        <v>153</v>
      </c>
      <c r="B144" t="s">
        <v>162</v>
      </c>
      <c r="C144" s="2">
        <v>2000</v>
      </c>
      <c r="D144" s="2">
        <v>200</v>
      </c>
      <c r="E144" s="3">
        <v>0.90870149999999994</v>
      </c>
      <c r="F144" s="4">
        <v>114199</v>
      </c>
      <c r="G144" s="4">
        <v>114199</v>
      </c>
      <c r="H144" s="4">
        <v>114199</v>
      </c>
      <c r="I144" s="4">
        <v>68.252559000000005</v>
      </c>
      <c r="J144" s="2">
        <v>10</v>
      </c>
      <c r="K144" s="4">
        <v>114199</v>
      </c>
      <c r="L144" s="4">
        <v>114199</v>
      </c>
      <c r="M144" s="4">
        <v>8.4019999999999992</v>
      </c>
      <c r="N144" s="2">
        <v>10</v>
      </c>
      <c r="O144" s="4">
        <v>114199</v>
      </c>
      <c r="P144" s="4">
        <v>114199</v>
      </c>
      <c r="Q144" s="4">
        <v>3.8998270000000002</v>
      </c>
      <c r="R144" s="2">
        <v>10</v>
      </c>
      <c r="S144" s="4">
        <v>114199</v>
      </c>
      <c r="T144" s="4">
        <v>114199</v>
      </c>
      <c r="U144">
        <v>9.6686929999999993</v>
      </c>
      <c r="V144" s="2">
        <v>10</v>
      </c>
    </row>
    <row r="145" spans="1:22" x14ac:dyDescent="0.3">
      <c r="A145" t="s">
        <v>153</v>
      </c>
      <c r="B145" t="s">
        <v>163</v>
      </c>
      <c r="C145" s="2">
        <v>2000</v>
      </c>
      <c r="D145" s="2">
        <v>200</v>
      </c>
      <c r="E145" s="3">
        <v>0.90871449999999998</v>
      </c>
      <c r="F145" s="4">
        <v>114229</v>
      </c>
      <c r="G145" s="4">
        <v>114229</v>
      </c>
      <c r="H145" s="4">
        <v>114229</v>
      </c>
      <c r="I145" s="4">
        <v>36.840885999999998</v>
      </c>
      <c r="J145" s="2">
        <v>10</v>
      </c>
      <c r="K145" s="4">
        <v>114229</v>
      </c>
      <c r="L145" s="4">
        <v>114229</v>
      </c>
      <c r="M145" s="4">
        <v>2.7103359999999999</v>
      </c>
      <c r="N145" s="2">
        <v>10</v>
      </c>
      <c r="O145" s="4">
        <v>114229</v>
      </c>
      <c r="P145" s="4">
        <v>114229</v>
      </c>
      <c r="Q145" s="4">
        <v>2.5078659999999999</v>
      </c>
      <c r="R145" s="2">
        <v>10</v>
      </c>
      <c r="S145" s="4">
        <v>114229</v>
      </c>
      <c r="T145" s="4">
        <v>114229</v>
      </c>
      <c r="U145">
        <v>8.9617830000000005</v>
      </c>
      <c r="V145" s="2">
        <v>10</v>
      </c>
    </row>
    <row r="146" spans="1:22" x14ac:dyDescent="0.3">
      <c r="A146" t="s">
        <v>153</v>
      </c>
      <c r="B146" t="s">
        <v>164</v>
      </c>
      <c r="C146" s="2">
        <v>2000</v>
      </c>
      <c r="D146" s="2">
        <v>200</v>
      </c>
      <c r="E146" s="3">
        <v>0.908663</v>
      </c>
      <c r="F146" s="4">
        <v>114214</v>
      </c>
      <c r="G146" s="4">
        <v>114214</v>
      </c>
      <c r="H146" s="4">
        <v>114214</v>
      </c>
      <c r="I146" s="4">
        <v>106.26998500000001</v>
      </c>
      <c r="J146" s="2">
        <v>10</v>
      </c>
      <c r="K146" s="4">
        <v>114214</v>
      </c>
      <c r="L146" s="4">
        <v>114214</v>
      </c>
      <c r="M146" s="4">
        <v>5.4266529999999999</v>
      </c>
      <c r="N146" s="2">
        <v>10</v>
      </c>
      <c r="O146" s="4">
        <v>114214</v>
      </c>
      <c r="P146" s="4">
        <v>114214</v>
      </c>
      <c r="Q146" s="4">
        <v>4.4535660000000004</v>
      </c>
      <c r="R146" s="2">
        <v>10</v>
      </c>
      <c r="S146" s="4">
        <v>114214</v>
      </c>
      <c r="T146" s="4">
        <v>114214</v>
      </c>
      <c r="U146">
        <v>25.594338</v>
      </c>
      <c r="V146" s="2">
        <v>10</v>
      </c>
    </row>
    <row r="147" spans="1:22" x14ac:dyDescent="0.3">
      <c r="A147" t="s">
        <v>153</v>
      </c>
      <c r="B147" t="s">
        <v>165</v>
      </c>
      <c r="C147" s="2">
        <v>2000</v>
      </c>
      <c r="D147" s="2">
        <v>200</v>
      </c>
      <c r="E147" s="3">
        <v>0.90891699999999997</v>
      </c>
      <c r="F147" s="4">
        <v>114214</v>
      </c>
      <c r="G147" s="4">
        <v>114214</v>
      </c>
      <c r="H147" s="4">
        <v>114214</v>
      </c>
      <c r="I147" s="4">
        <v>166.73593600000001</v>
      </c>
      <c r="J147" s="2">
        <v>10</v>
      </c>
      <c r="K147" s="4">
        <v>114214</v>
      </c>
      <c r="L147" s="4">
        <v>114214</v>
      </c>
      <c r="M147" s="4">
        <v>8.577197</v>
      </c>
      <c r="N147" s="2">
        <v>10</v>
      </c>
      <c r="O147" s="4">
        <v>114214</v>
      </c>
      <c r="P147" s="4">
        <v>114214</v>
      </c>
      <c r="Q147" s="4">
        <v>10.881869</v>
      </c>
      <c r="R147" s="2">
        <v>10</v>
      </c>
      <c r="S147" s="4">
        <v>114214</v>
      </c>
      <c r="T147" s="4">
        <v>114214</v>
      </c>
      <c r="U147">
        <v>30.381844000000001</v>
      </c>
      <c r="V147" s="2">
        <v>10</v>
      </c>
    </row>
    <row r="148" spans="1:22" x14ac:dyDescent="0.3">
      <c r="A148" t="s">
        <v>153</v>
      </c>
      <c r="B148" t="s">
        <v>166</v>
      </c>
      <c r="C148" s="2">
        <v>2000</v>
      </c>
      <c r="D148" s="2">
        <v>200</v>
      </c>
      <c r="E148" s="3">
        <v>0.90849800000000003</v>
      </c>
      <c r="F148" s="4">
        <v>114233</v>
      </c>
      <c r="G148" s="4">
        <v>114233</v>
      </c>
      <c r="H148" s="4">
        <v>114233</v>
      </c>
      <c r="I148" s="4">
        <v>27.115310999999998</v>
      </c>
      <c r="J148" s="2">
        <v>10</v>
      </c>
      <c r="K148" s="4">
        <v>114233</v>
      </c>
      <c r="L148" s="4">
        <v>114233</v>
      </c>
      <c r="M148" s="4">
        <v>5.1725110000000001</v>
      </c>
      <c r="N148" s="2">
        <v>10</v>
      </c>
      <c r="O148" s="4">
        <v>114233</v>
      </c>
      <c r="P148" s="4">
        <v>114233</v>
      </c>
      <c r="Q148" s="4">
        <v>2.8439770000000002</v>
      </c>
      <c r="R148" s="2">
        <v>10</v>
      </c>
      <c r="S148" s="4">
        <v>114233</v>
      </c>
      <c r="T148" s="4">
        <v>114233</v>
      </c>
      <c r="U148">
        <v>5.3323850000000004</v>
      </c>
      <c r="V148" s="2">
        <v>10</v>
      </c>
    </row>
    <row r="149" spans="1:22" x14ac:dyDescent="0.3">
      <c r="A149" t="s">
        <v>153</v>
      </c>
      <c r="B149" t="s">
        <v>167</v>
      </c>
      <c r="C149" s="2">
        <v>2000</v>
      </c>
      <c r="D149" s="2">
        <v>200</v>
      </c>
      <c r="E149" s="3">
        <v>0.90844499999999995</v>
      </c>
      <c r="F149" s="4">
        <v>114216</v>
      </c>
      <c r="G149" s="4">
        <v>114216</v>
      </c>
      <c r="H149" s="4">
        <v>114216</v>
      </c>
      <c r="I149" s="4">
        <v>5.0058379999999998</v>
      </c>
      <c r="J149" s="2">
        <v>10</v>
      </c>
      <c r="K149" s="4">
        <v>114216</v>
      </c>
      <c r="L149" s="4">
        <v>114216</v>
      </c>
      <c r="M149" s="4">
        <v>0.48617100000000002</v>
      </c>
      <c r="N149" s="2">
        <v>10</v>
      </c>
      <c r="O149" s="4">
        <v>114216</v>
      </c>
      <c r="P149" s="4">
        <v>114216</v>
      </c>
      <c r="Q149" s="4">
        <v>0.46904899999999999</v>
      </c>
      <c r="R149" s="2">
        <v>10</v>
      </c>
      <c r="S149" s="4">
        <v>114216</v>
      </c>
      <c r="T149" s="4">
        <v>114216</v>
      </c>
      <c r="U149">
        <v>3.8650669999999998</v>
      </c>
      <c r="V149" s="2">
        <v>10</v>
      </c>
    </row>
    <row r="150" spans="1:22" x14ac:dyDescent="0.3">
      <c r="A150" t="s">
        <v>153</v>
      </c>
      <c r="B150" t="s">
        <v>168</v>
      </c>
      <c r="C150" s="2">
        <v>2000</v>
      </c>
      <c r="D150" s="2">
        <v>200</v>
      </c>
      <c r="E150" s="3">
        <v>0.90878249999999994</v>
      </c>
      <c r="F150" s="4">
        <v>114240</v>
      </c>
      <c r="G150" s="4">
        <v>114240</v>
      </c>
      <c r="H150" s="4">
        <v>114240</v>
      </c>
      <c r="I150" s="4">
        <v>122.131614</v>
      </c>
      <c r="J150" s="2">
        <v>10</v>
      </c>
      <c r="K150" s="4">
        <v>114240</v>
      </c>
      <c r="L150" s="4">
        <v>114240</v>
      </c>
      <c r="M150" s="4">
        <v>17.218083</v>
      </c>
      <c r="N150" s="2">
        <v>10</v>
      </c>
      <c r="O150" s="4">
        <v>114240</v>
      </c>
      <c r="P150" s="4">
        <v>114240</v>
      </c>
      <c r="Q150" s="4">
        <v>11.744324000000001</v>
      </c>
      <c r="R150" s="2">
        <v>10</v>
      </c>
      <c r="S150" s="4">
        <v>114240</v>
      </c>
      <c r="T150" s="4">
        <v>114240</v>
      </c>
      <c r="U150">
        <v>18.172626000000001</v>
      </c>
      <c r="V150" s="2">
        <v>10</v>
      </c>
    </row>
    <row r="151" spans="1:22" x14ac:dyDescent="0.3">
      <c r="A151" t="s">
        <v>153</v>
      </c>
      <c r="B151" t="s">
        <v>169</v>
      </c>
      <c r="C151" s="2">
        <v>2000</v>
      </c>
      <c r="D151" s="2">
        <v>200</v>
      </c>
      <c r="E151" s="3">
        <v>0.90847750000000005</v>
      </c>
      <c r="F151" s="4">
        <v>114335</v>
      </c>
      <c r="G151" s="4">
        <v>114335</v>
      </c>
      <c r="H151" s="4">
        <v>114335</v>
      </c>
      <c r="I151" s="4">
        <v>21.095808999999999</v>
      </c>
      <c r="J151" s="2">
        <v>10</v>
      </c>
      <c r="K151" s="4">
        <v>114335</v>
      </c>
      <c r="L151" s="4">
        <v>114335</v>
      </c>
      <c r="M151" s="4">
        <v>3.057426</v>
      </c>
      <c r="N151" s="2">
        <v>10</v>
      </c>
      <c r="O151" s="4">
        <v>114335</v>
      </c>
      <c r="P151" s="4">
        <v>114335</v>
      </c>
      <c r="Q151" s="4">
        <v>1.3003899999999999</v>
      </c>
      <c r="R151" s="2">
        <v>10</v>
      </c>
      <c r="S151" s="4">
        <v>114335</v>
      </c>
      <c r="T151" s="4">
        <v>114335</v>
      </c>
      <c r="U151">
        <v>5.0816350000000003</v>
      </c>
      <c r="V151" s="2">
        <v>10</v>
      </c>
    </row>
    <row r="152" spans="1:22" x14ac:dyDescent="0.3">
      <c r="A152" t="s">
        <v>153</v>
      </c>
      <c r="B152" t="s">
        <v>170</v>
      </c>
      <c r="C152" s="2">
        <v>2000</v>
      </c>
      <c r="D152" s="2">
        <v>200</v>
      </c>
      <c r="E152" s="3">
        <v>0.90899399999999997</v>
      </c>
      <c r="F152" s="4">
        <v>114255</v>
      </c>
      <c r="G152" s="4">
        <v>114255</v>
      </c>
      <c r="H152" s="4">
        <v>114255</v>
      </c>
      <c r="I152" s="4">
        <v>21.762031</v>
      </c>
      <c r="J152" s="2">
        <v>10</v>
      </c>
      <c r="K152" s="4">
        <v>114255</v>
      </c>
      <c r="L152" s="4">
        <v>114255</v>
      </c>
      <c r="M152" s="4">
        <v>2.9294899999999999</v>
      </c>
      <c r="N152" s="2">
        <v>10</v>
      </c>
      <c r="O152" s="4">
        <v>114255</v>
      </c>
      <c r="P152" s="4">
        <v>114255</v>
      </c>
      <c r="Q152" s="4">
        <v>2.3764280000000002</v>
      </c>
      <c r="R152" s="2">
        <v>10</v>
      </c>
      <c r="S152" s="4">
        <v>114255</v>
      </c>
      <c r="T152" s="4">
        <v>114255</v>
      </c>
      <c r="U152">
        <v>8.8996379999999995</v>
      </c>
      <c r="V152" s="2">
        <v>10</v>
      </c>
    </row>
    <row r="153" spans="1:22" x14ac:dyDescent="0.3">
      <c r="A153" t="s">
        <v>153</v>
      </c>
      <c r="B153" t="s">
        <v>171</v>
      </c>
      <c r="C153" s="2">
        <v>2000</v>
      </c>
      <c r="D153" s="2">
        <v>200</v>
      </c>
      <c r="E153" s="3">
        <v>0.90877399999999997</v>
      </c>
      <c r="F153" s="4">
        <v>114408</v>
      </c>
      <c r="G153" s="4">
        <v>114408</v>
      </c>
      <c r="H153" s="4">
        <v>114408</v>
      </c>
      <c r="I153" s="4">
        <v>26.944580999999999</v>
      </c>
      <c r="J153" s="2">
        <v>10</v>
      </c>
      <c r="K153" s="4">
        <v>114408</v>
      </c>
      <c r="L153" s="4">
        <v>114408</v>
      </c>
      <c r="M153" s="4">
        <v>2.3406910000000001</v>
      </c>
      <c r="N153" s="2">
        <v>10</v>
      </c>
      <c r="O153" s="4">
        <v>114408</v>
      </c>
      <c r="P153" s="4">
        <v>114408</v>
      </c>
      <c r="Q153" s="4">
        <v>1.0917289999999999</v>
      </c>
      <c r="R153" s="2">
        <v>10</v>
      </c>
      <c r="S153" s="4">
        <v>114408</v>
      </c>
      <c r="T153" s="4">
        <v>114408</v>
      </c>
      <c r="U153">
        <v>3.2201490000000002</v>
      </c>
      <c r="V153" s="2">
        <v>10</v>
      </c>
    </row>
    <row r="154" spans="1:22" x14ac:dyDescent="0.3">
      <c r="A154" t="s">
        <v>153</v>
      </c>
      <c r="B154" t="s">
        <v>172</v>
      </c>
      <c r="C154" s="2">
        <v>2000</v>
      </c>
      <c r="D154" s="2">
        <v>200</v>
      </c>
      <c r="E154" s="3">
        <v>0.90847250000000002</v>
      </c>
      <c r="F154" s="4">
        <v>114201</v>
      </c>
      <c r="G154" s="4">
        <v>114201</v>
      </c>
      <c r="H154" s="4">
        <v>114201</v>
      </c>
      <c r="I154" s="4">
        <v>7.8692770000000003</v>
      </c>
      <c r="J154" s="2">
        <v>10</v>
      </c>
      <c r="K154" s="4">
        <v>114201</v>
      </c>
      <c r="L154" s="4">
        <v>114201</v>
      </c>
      <c r="M154" s="4">
        <v>1.1491990000000001</v>
      </c>
      <c r="N154" s="2">
        <v>10</v>
      </c>
      <c r="O154" s="4">
        <v>114201</v>
      </c>
      <c r="P154" s="4">
        <v>114201</v>
      </c>
      <c r="Q154" s="4">
        <v>0.70076300000000002</v>
      </c>
      <c r="R154" s="2">
        <v>10</v>
      </c>
      <c r="S154" s="4">
        <v>114201</v>
      </c>
      <c r="T154" s="4">
        <v>114201</v>
      </c>
      <c r="U154">
        <v>3.8731810000000002</v>
      </c>
      <c r="V154" s="2">
        <v>10</v>
      </c>
    </row>
    <row r="155" spans="1:22" x14ac:dyDescent="0.3">
      <c r="A155" t="s">
        <v>153</v>
      </c>
      <c r="B155" t="s">
        <v>173</v>
      </c>
      <c r="C155" s="2">
        <v>2000</v>
      </c>
      <c r="D155" s="2">
        <v>200</v>
      </c>
      <c r="E155" s="3">
        <v>0.90851899999999997</v>
      </c>
      <c r="F155" s="4">
        <v>114349</v>
      </c>
      <c r="G155" s="4">
        <v>114349</v>
      </c>
      <c r="H155" s="4">
        <v>114349</v>
      </c>
      <c r="I155" s="4">
        <v>28.895852000000001</v>
      </c>
      <c r="J155" s="2">
        <v>10</v>
      </c>
      <c r="K155" s="4">
        <v>114349</v>
      </c>
      <c r="L155" s="4">
        <v>114349</v>
      </c>
      <c r="M155" s="4">
        <v>2.2775919999999998</v>
      </c>
      <c r="N155" s="2">
        <v>10</v>
      </c>
      <c r="O155" s="4">
        <v>114349</v>
      </c>
      <c r="P155" s="4">
        <v>114349</v>
      </c>
      <c r="Q155" s="4">
        <v>1.39402</v>
      </c>
      <c r="R155" s="2">
        <v>10</v>
      </c>
      <c r="S155" s="4">
        <v>114349</v>
      </c>
      <c r="T155" s="4">
        <v>114349</v>
      </c>
      <c r="U155">
        <v>7.2054900000000002</v>
      </c>
      <c r="V155" s="2">
        <v>10</v>
      </c>
    </row>
    <row r="156" spans="1:22" x14ac:dyDescent="0.3">
      <c r="A156" s="7" t="s">
        <v>365</v>
      </c>
      <c r="B156" s="7"/>
      <c r="C156" s="8"/>
      <c r="D156" s="8"/>
      <c r="E156" s="9"/>
      <c r="F156" s="10"/>
      <c r="G156" s="10"/>
      <c r="H156" s="10"/>
      <c r="I156" s="10">
        <f>AVERAGE(I136:I155)</f>
        <v>57.519051450000006</v>
      </c>
      <c r="J156" s="8">
        <f>SUM(J136:J155)</f>
        <v>200</v>
      </c>
      <c r="K156" s="10"/>
      <c r="L156" s="10"/>
      <c r="M156" s="10">
        <f>AVERAGE(M136:M155)</f>
        <v>6.8007382500000002</v>
      </c>
      <c r="N156" s="8">
        <f>SUM(N136:N155)</f>
        <v>200</v>
      </c>
      <c r="O156" s="10"/>
      <c r="P156" s="10"/>
      <c r="Q156" s="10">
        <f>AVERAGE(Q136:Q155)</f>
        <v>3.7809400500000003</v>
      </c>
      <c r="R156" s="8">
        <f>SUM(R136:R155)</f>
        <v>200</v>
      </c>
      <c r="S156" s="8"/>
      <c r="T156" s="8"/>
      <c r="U156" s="10">
        <f>AVERAGE(U136:U155)</f>
        <v>12.97369645</v>
      </c>
      <c r="V156" s="8">
        <f>SUM(V136:V155)</f>
        <v>200</v>
      </c>
    </row>
    <row r="157" spans="1:22" x14ac:dyDescent="0.3">
      <c r="A157" t="s">
        <v>174</v>
      </c>
      <c r="B157" t="s">
        <v>175</v>
      </c>
      <c r="C157" s="2">
        <v>500</v>
      </c>
      <c r="D157" s="2">
        <v>50</v>
      </c>
      <c r="E157" s="3">
        <v>0.99704800000000005</v>
      </c>
      <c r="F157" s="4">
        <v>7833.83</v>
      </c>
      <c r="G157" s="4">
        <v>7833.83</v>
      </c>
      <c r="H157" s="4">
        <v>7833.83</v>
      </c>
      <c r="I157" s="4">
        <v>2.5956E-2</v>
      </c>
      <c r="J157" s="2">
        <v>10</v>
      </c>
      <c r="K157" s="4">
        <v>7833.83</v>
      </c>
      <c r="L157" s="4">
        <v>7833.83</v>
      </c>
      <c r="M157" s="4">
        <v>5.6179999999999997E-3</v>
      </c>
      <c r="N157" s="2">
        <v>10</v>
      </c>
      <c r="O157" s="4">
        <v>7833.83</v>
      </c>
      <c r="P157" s="4">
        <v>7833.83</v>
      </c>
      <c r="Q157" s="4">
        <v>3.8500000000000001E-3</v>
      </c>
      <c r="R157" s="2">
        <v>10</v>
      </c>
      <c r="S157" s="4">
        <v>7833.83</v>
      </c>
      <c r="T157" s="4">
        <v>7833.83</v>
      </c>
      <c r="U157">
        <v>419.216114</v>
      </c>
      <c r="V157" s="2">
        <v>10</v>
      </c>
    </row>
    <row r="158" spans="1:22" x14ac:dyDescent="0.3">
      <c r="A158" t="s">
        <v>174</v>
      </c>
      <c r="B158" t="s">
        <v>176</v>
      </c>
      <c r="C158" s="2">
        <v>500</v>
      </c>
      <c r="D158" s="2">
        <v>50</v>
      </c>
      <c r="E158" s="3">
        <v>0.99707999999999997</v>
      </c>
      <c r="F158" s="4">
        <v>7771.66</v>
      </c>
      <c r="G158" s="4">
        <v>7771.66</v>
      </c>
      <c r="H158" s="4">
        <v>7771.66</v>
      </c>
      <c r="I158" s="4">
        <v>0.33938299999999999</v>
      </c>
      <c r="J158" s="2">
        <v>10</v>
      </c>
      <c r="K158" s="4">
        <v>7771.66</v>
      </c>
      <c r="L158" s="4">
        <v>7771.66</v>
      </c>
      <c r="M158" s="4">
        <v>2.7911999999999999E-2</v>
      </c>
      <c r="N158" s="2">
        <v>10</v>
      </c>
      <c r="O158" s="4">
        <v>7771.66</v>
      </c>
      <c r="P158" s="4">
        <v>7771.66</v>
      </c>
      <c r="Q158" s="4">
        <v>2.5169E-2</v>
      </c>
      <c r="R158" s="2">
        <v>10</v>
      </c>
      <c r="S158" s="4">
        <v>7771.66</v>
      </c>
      <c r="T158" s="4">
        <v>7771.66</v>
      </c>
      <c r="U158">
        <v>272.108068</v>
      </c>
      <c r="V158" s="2">
        <v>10</v>
      </c>
    </row>
    <row r="159" spans="1:22" x14ac:dyDescent="0.3">
      <c r="A159" t="s">
        <v>174</v>
      </c>
      <c r="B159" t="s">
        <v>177</v>
      </c>
      <c r="C159" s="2">
        <v>500</v>
      </c>
      <c r="D159" s="2">
        <v>50</v>
      </c>
      <c r="E159" s="3">
        <v>0.99683999999999995</v>
      </c>
      <c r="F159" s="4">
        <v>7759.36</v>
      </c>
      <c r="G159" s="4">
        <v>7759.36</v>
      </c>
      <c r="H159" s="4">
        <v>7759.36</v>
      </c>
      <c r="I159" s="4">
        <v>4.9674000000000003E-2</v>
      </c>
      <c r="J159" s="2">
        <v>10</v>
      </c>
      <c r="K159" s="4">
        <v>7759.36</v>
      </c>
      <c r="L159" s="4">
        <v>7759.36</v>
      </c>
      <c r="M159" s="4">
        <v>8.796E-3</v>
      </c>
      <c r="N159" s="2">
        <v>10</v>
      </c>
      <c r="O159" s="4">
        <v>7759.36</v>
      </c>
      <c r="P159" s="4">
        <v>7759.36</v>
      </c>
      <c r="Q159" s="4">
        <v>7.6819999999999996E-3</v>
      </c>
      <c r="R159" s="2">
        <v>10</v>
      </c>
      <c r="S159" s="4">
        <v>7759.36</v>
      </c>
      <c r="T159" s="4">
        <v>7759.36</v>
      </c>
      <c r="U159">
        <v>247.33492000000001</v>
      </c>
      <c r="V159" s="2">
        <v>10</v>
      </c>
    </row>
    <row r="160" spans="1:22" x14ac:dyDescent="0.3">
      <c r="A160" t="s">
        <v>174</v>
      </c>
      <c r="B160" t="s">
        <v>178</v>
      </c>
      <c r="C160" s="2">
        <v>500</v>
      </c>
      <c r="D160" s="2">
        <v>50</v>
      </c>
      <c r="E160" s="3">
        <v>0.9967919999999999</v>
      </c>
      <c r="F160" s="4">
        <v>7770.24</v>
      </c>
      <c r="G160" s="4">
        <v>7770.24</v>
      </c>
      <c r="H160" s="4">
        <v>7770.24</v>
      </c>
      <c r="I160" s="4">
        <v>0.68971199999999999</v>
      </c>
      <c r="J160" s="2">
        <v>10</v>
      </c>
      <c r="K160" s="4">
        <v>7770.24</v>
      </c>
      <c r="L160" s="4">
        <v>7770.24</v>
      </c>
      <c r="M160" s="4">
        <v>2.6200000000000001E-2</v>
      </c>
      <c r="N160" s="2">
        <v>10</v>
      </c>
      <c r="O160" s="4">
        <v>7770.24</v>
      </c>
      <c r="P160" s="4">
        <v>7770.24</v>
      </c>
      <c r="Q160" s="4">
        <v>1.7895000000000001E-2</v>
      </c>
      <c r="R160" s="2">
        <v>10</v>
      </c>
      <c r="S160" s="4">
        <v>7770.24</v>
      </c>
      <c r="T160" s="4">
        <v>7770.24</v>
      </c>
      <c r="U160">
        <v>332.72732200000002</v>
      </c>
      <c r="V160" s="2">
        <v>10</v>
      </c>
    </row>
    <row r="161" spans="1:22" x14ac:dyDescent="0.3">
      <c r="A161" t="s">
        <v>174</v>
      </c>
      <c r="B161" t="s">
        <v>179</v>
      </c>
      <c r="C161" s="2">
        <v>500</v>
      </c>
      <c r="D161" s="2">
        <v>50</v>
      </c>
      <c r="E161" s="3">
        <v>0.99695999999999996</v>
      </c>
      <c r="F161" s="4">
        <v>7755.23</v>
      </c>
      <c r="G161" s="4">
        <v>7755.23</v>
      </c>
      <c r="H161" s="4">
        <v>7755.23</v>
      </c>
      <c r="I161" s="4">
        <v>0.14668400000000001</v>
      </c>
      <c r="J161" s="2">
        <v>10</v>
      </c>
      <c r="K161" s="4">
        <v>7755.23</v>
      </c>
      <c r="L161" s="4">
        <v>7755.23</v>
      </c>
      <c r="M161" s="4">
        <v>1.0566000000000001E-2</v>
      </c>
      <c r="N161" s="2">
        <v>10</v>
      </c>
      <c r="O161" s="4">
        <v>7755.23</v>
      </c>
      <c r="P161" s="4">
        <v>7755.23</v>
      </c>
      <c r="Q161" s="4">
        <v>1.7233999999999999E-2</v>
      </c>
      <c r="R161" s="2">
        <v>10</v>
      </c>
      <c r="S161" s="4">
        <v>7755.23</v>
      </c>
      <c r="T161" s="4">
        <v>7755.23</v>
      </c>
      <c r="U161">
        <v>184.802582</v>
      </c>
      <c r="V161" s="2">
        <v>10</v>
      </c>
    </row>
    <row r="162" spans="1:22" x14ac:dyDescent="0.3">
      <c r="A162" t="s">
        <v>174</v>
      </c>
      <c r="B162" t="s">
        <v>180</v>
      </c>
      <c r="C162" s="2">
        <v>500</v>
      </c>
      <c r="D162" s="2">
        <v>50</v>
      </c>
      <c r="E162" s="3">
        <v>0.99696799999999997</v>
      </c>
      <c r="F162" s="4">
        <v>7773.71</v>
      </c>
      <c r="G162" s="4">
        <v>7773.71</v>
      </c>
      <c r="H162" s="4">
        <v>7773.71</v>
      </c>
      <c r="I162" s="4">
        <v>1.9741999999999999E-2</v>
      </c>
      <c r="J162" s="2">
        <v>10</v>
      </c>
      <c r="K162" s="4">
        <v>7773.71</v>
      </c>
      <c r="L162" s="4">
        <v>7773.71</v>
      </c>
      <c r="M162" s="4">
        <v>1.0338E-2</v>
      </c>
      <c r="N162" s="2">
        <v>10</v>
      </c>
      <c r="O162" s="4">
        <v>7773.71</v>
      </c>
      <c r="P162" s="4">
        <v>7773.71</v>
      </c>
      <c r="Q162" s="4">
        <v>1.0946000000000001E-2</v>
      </c>
      <c r="R162" s="2">
        <v>10</v>
      </c>
      <c r="S162" s="4">
        <v>7773.71</v>
      </c>
      <c r="T162" s="4">
        <v>7773.71</v>
      </c>
      <c r="U162">
        <v>337.72029199999997</v>
      </c>
      <c r="V162" s="2">
        <v>10</v>
      </c>
    </row>
    <row r="163" spans="1:22" x14ac:dyDescent="0.3">
      <c r="A163" t="s">
        <v>174</v>
      </c>
      <c r="B163" t="s">
        <v>181</v>
      </c>
      <c r="C163" s="2">
        <v>500</v>
      </c>
      <c r="D163" s="2">
        <v>50</v>
      </c>
      <c r="E163" s="3">
        <v>0.99705600000000005</v>
      </c>
      <c r="F163" s="4">
        <v>7771.73</v>
      </c>
      <c r="G163" s="4">
        <v>7771.73</v>
      </c>
      <c r="H163" s="4">
        <v>7771.73</v>
      </c>
      <c r="I163" s="4">
        <v>0.37373800000000001</v>
      </c>
      <c r="J163" s="2">
        <v>10</v>
      </c>
      <c r="K163" s="4">
        <v>7771.73</v>
      </c>
      <c r="L163" s="4">
        <v>7771.73</v>
      </c>
      <c r="M163" s="4">
        <v>5.8799999999999998E-3</v>
      </c>
      <c r="N163" s="2">
        <v>10</v>
      </c>
      <c r="O163" s="4">
        <v>7771.73</v>
      </c>
      <c r="P163" s="4">
        <v>7771.73</v>
      </c>
      <c r="Q163" s="4">
        <v>4.1339999999999997E-3</v>
      </c>
      <c r="R163" s="2">
        <v>10</v>
      </c>
      <c r="S163" s="4">
        <v>7771.73</v>
      </c>
      <c r="T163" s="4">
        <v>7771.73</v>
      </c>
      <c r="U163">
        <v>383.35244399999999</v>
      </c>
      <c r="V163" s="2">
        <v>10</v>
      </c>
    </row>
    <row r="164" spans="1:22" x14ac:dyDescent="0.3">
      <c r="A164" t="s">
        <v>174</v>
      </c>
      <c r="B164" t="s">
        <v>182</v>
      </c>
      <c r="C164" s="2">
        <v>500</v>
      </c>
      <c r="D164" s="2">
        <v>50</v>
      </c>
      <c r="E164" s="3">
        <v>0.99703999999999993</v>
      </c>
      <c r="F164" s="4">
        <v>7750.88</v>
      </c>
      <c r="G164" s="4">
        <v>7750.88</v>
      </c>
      <c r="H164" s="4">
        <v>7750.88</v>
      </c>
      <c r="I164" s="4">
        <v>0.15936800000000001</v>
      </c>
      <c r="J164" s="2">
        <v>10</v>
      </c>
      <c r="K164" s="4">
        <v>7750.88</v>
      </c>
      <c r="L164" s="4">
        <v>7750.88</v>
      </c>
      <c r="M164" s="4">
        <v>3.5144000000000002E-2</v>
      </c>
      <c r="N164" s="2">
        <v>10</v>
      </c>
      <c r="O164" s="4">
        <v>7750.88</v>
      </c>
      <c r="P164" s="4">
        <v>7750.88</v>
      </c>
      <c r="Q164" s="4">
        <v>3.0405999999999999E-2</v>
      </c>
      <c r="R164" s="2">
        <v>10</v>
      </c>
      <c r="S164" s="4">
        <v>7750.88</v>
      </c>
      <c r="T164" s="4">
        <v>7750.88</v>
      </c>
      <c r="U164">
        <v>385.38627500000001</v>
      </c>
      <c r="V164" s="2">
        <v>10</v>
      </c>
    </row>
    <row r="165" spans="1:22" x14ac:dyDescent="0.3">
      <c r="A165" t="s">
        <v>174</v>
      </c>
      <c r="B165" t="s">
        <v>183</v>
      </c>
      <c r="C165" s="2">
        <v>500</v>
      </c>
      <c r="D165" s="2">
        <v>50</v>
      </c>
      <c r="E165" s="3">
        <v>0.9967919999999999</v>
      </c>
      <c r="F165" s="4">
        <v>7770.07</v>
      </c>
      <c r="G165" s="4">
        <v>7770.07</v>
      </c>
      <c r="H165" s="4">
        <v>7770.07</v>
      </c>
      <c r="I165" s="4">
        <v>0.41206700000000002</v>
      </c>
      <c r="J165" s="2">
        <v>10</v>
      </c>
      <c r="K165" s="4">
        <v>7770.07</v>
      </c>
      <c r="L165" s="4">
        <v>7770.07</v>
      </c>
      <c r="M165" s="4">
        <v>1.487E-2</v>
      </c>
      <c r="N165" s="2">
        <v>10</v>
      </c>
      <c r="O165" s="4">
        <v>7770.07</v>
      </c>
      <c r="P165" s="4">
        <v>7770.07</v>
      </c>
      <c r="Q165" s="4">
        <v>9.9190000000000007E-3</v>
      </c>
      <c r="R165" s="2">
        <v>10</v>
      </c>
      <c r="S165" s="4">
        <v>7770.07</v>
      </c>
      <c r="T165" s="4">
        <v>7770.07</v>
      </c>
      <c r="U165">
        <v>276.26373000000001</v>
      </c>
      <c r="V165" s="2">
        <v>10</v>
      </c>
    </row>
    <row r="166" spans="1:22" x14ac:dyDescent="0.3">
      <c r="A166" t="s">
        <v>174</v>
      </c>
      <c r="B166" t="s">
        <v>184</v>
      </c>
      <c r="C166" s="2">
        <v>500</v>
      </c>
      <c r="D166" s="2">
        <v>50</v>
      </c>
      <c r="E166" s="3">
        <v>0.99698400000000009</v>
      </c>
      <c r="F166" s="4">
        <v>7780.35</v>
      </c>
      <c r="G166" s="4">
        <v>7780.35</v>
      </c>
      <c r="H166" s="4">
        <v>7780.35</v>
      </c>
      <c r="I166" s="4">
        <v>5.1213000000000002E-2</v>
      </c>
      <c r="J166" s="2">
        <v>10</v>
      </c>
      <c r="K166" s="4">
        <v>7780.35</v>
      </c>
      <c r="L166" s="4">
        <v>7780.35</v>
      </c>
      <c r="M166" s="4">
        <v>1.3929E-2</v>
      </c>
      <c r="N166" s="2">
        <v>10</v>
      </c>
      <c r="O166" s="4">
        <v>7780.35</v>
      </c>
      <c r="P166" s="4">
        <v>7780.35</v>
      </c>
      <c r="Q166" s="4">
        <v>1.3331000000000001E-2</v>
      </c>
      <c r="R166" s="2">
        <v>10</v>
      </c>
      <c r="S166" s="4">
        <v>7780.35</v>
      </c>
      <c r="T166" s="4">
        <v>7780.35</v>
      </c>
      <c r="U166">
        <v>362.19567899999998</v>
      </c>
      <c r="V166" s="2">
        <v>10</v>
      </c>
    </row>
    <row r="167" spans="1:22" x14ac:dyDescent="0.3">
      <c r="A167" t="s">
        <v>174</v>
      </c>
      <c r="B167" t="s">
        <v>185</v>
      </c>
      <c r="C167" s="2">
        <v>500</v>
      </c>
      <c r="D167" s="2">
        <v>50</v>
      </c>
      <c r="E167" s="3">
        <v>0.99700800000000001</v>
      </c>
      <c r="F167" s="4">
        <v>7770.95</v>
      </c>
      <c r="G167" s="4">
        <v>7770.95</v>
      </c>
      <c r="H167" s="4">
        <v>7770.95</v>
      </c>
      <c r="I167" s="4">
        <v>0.16776199999999999</v>
      </c>
      <c r="J167" s="2">
        <v>10</v>
      </c>
      <c r="K167" s="4">
        <v>7770.95</v>
      </c>
      <c r="L167" s="4">
        <v>7770.95</v>
      </c>
      <c r="M167" s="4">
        <v>1.332E-2</v>
      </c>
      <c r="N167" s="2">
        <v>10</v>
      </c>
      <c r="O167" s="4">
        <v>7770.95</v>
      </c>
      <c r="P167" s="4">
        <v>7770.95</v>
      </c>
      <c r="Q167" s="4">
        <v>1.0788000000000001E-2</v>
      </c>
      <c r="R167" s="2">
        <v>10</v>
      </c>
      <c r="S167" s="4">
        <v>7770.95</v>
      </c>
      <c r="T167" s="4">
        <v>7770.95</v>
      </c>
      <c r="U167">
        <v>291.04772100000002</v>
      </c>
      <c r="V167" s="2">
        <v>10</v>
      </c>
    </row>
    <row r="168" spans="1:22" x14ac:dyDescent="0.3">
      <c r="A168" t="s">
        <v>174</v>
      </c>
      <c r="B168" t="s">
        <v>186</v>
      </c>
      <c r="C168" s="2">
        <v>500</v>
      </c>
      <c r="D168" s="2">
        <v>50</v>
      </c>
      <c r="E168" s="3">
        <v>0.99714400000000003</v>
      </c>
      <c r="F168" s="4">
        <v>7757.65</v>
      </c>
      <c r="G168" s="4">
        <v>7757.65</v>
      </c>
      <c r="H168" s="4">
        <v>7757.65</v>
      </c>
      <c r="I168" s="4">
        <v>5.3296000000000003E-2</v>
      </c>
      <c r="J168" s="2">
        <v>10</v>
      </c>
      <c r="K168" s="4">
        <v>7757.65</v>
      </c>
      <c r="L168" s="4">
        <v>7757.65</v>
      </c>
      <c r="M168" s="4">
        <v>2.0188999999999999E-2</v>
      </c>
      <c r="N168" s="2">
        <v>10</v>
      </c>
      <c r="O168" s="4">
        <v>7757.65</v>
      </c>
      <c r="P168" s="4">
        <v>7757.65</v>
      </c>
      <c r="Q168" s="4">
        <v>2.0315E-2</v>
      </c>
      <c r="R168" s="2">
        <v>10</v>
      </c>
      <c r="S168" s="4">
        <v>7757.65</v>
      </c>
      <c r="T168" s="4">
        <v>7757.65</v>
      </c>
      <c r="U168">
        <v>361.03035999999997</v>
      </c>
      <c r="V168" s="2">
        <v>10</v>
      </c>
    </row>
    <row r="169" spans="1:22" x14ac:dyDescent="0.3">
      <c r="A169" t="s">
        <v>174</v>
      </c>
      <c r="B169" t="s">
        <v>187</v>
      </c>
      <c r="C169" s="2">
        <v>500</v>
      </c>
      <c r="D169" s="2">
        <v>50</v>
      </c>
      <c r="E169" s="3">
        <v>0.99719199999999997</v>
      </c>
      <c r="F169" s="4">
        <v>7798.43</v>
      </c>
      <c r="G169" s="4">
        <v>7798.43</v>
      </c>
      <c r="H169" s="4">
        <v>7798.43</v>
      </c>
      <c r="I169" s="4">
        <v>0.152173</v>
      </c>
      <c r="J169" s="2">
        <v>10</v>
      </c>
      <c r="K169" s="4">
        <v>7798.43</v>
      </c>
      <c r="L169" s="4">
        <v>7798.43</v>
      </c>
      <c r="M169" s="4">
        <v>2.5287E-2</v>
      </c>
      <c r="N169" s="2">
        <v>10</v>
      </c>
      <c r="O169" s="4">
        <v>7798.43</v>
      </c>
      <c r="P169" s="4">
        <v>7798.43</v>
      </c>
      <c r="Q169" s="4">
        <v>2.1965999999999999E-2</v>
      </c>
      <c r="R169" s="2">
        <v>10</v>
      </c>
      <c r="S169" s="4">
        <v>7798.43</v>
      </c>
      <c r="T169" s="4">
        <v>7798.43</v>
      </c>
      <c r="U169">
        <v>274.93524600000001</v>
      </c>
      <c r="V169" s="2">
        <v>10</v>
      </c>
    </row>
    <row r="170" spans="1:22" x14ac:dyDescent="0.3">
      <c r="A170" t="s">
        <v>174</v>
      </c>
      <c r="B170" t="s">
        <v>188</v>
      </c>
      <c r="C170" s="2">
        <v>500</v>
      </c>
      <c r="D170" s="2">
        <v>50</v>
      </c>
      <c r="E170" s="3">
        <v>0.99719999999999998</v>
      </c>
      <c r="F170" s="4">
        <v>7795.63</v>
      </c>
      <c r="G170" s="4">
        <v>7795.63</v>
      </c>
      <c r="H170" s="4">
        <v>7795.63</v>
      </c>
      <c r="I170" s="4">
        <v>5.8166000000000002E-2</v>
      </c>
      <c r="J170" s="2">
        <v>10</v>
      </c>
      <c r="K170" s="4">
        <v>7795.63</v>
      </c>
      <c r="L170" s="4">
        <v>7795.63</v>
      </c>
      <c r="M170" s="4">
        <v>1.9219E-2</v>
      </c>
      <c r="N170" s="2">
        <v>10</v>
      </c>
      <c r="O170" s="4">
        <v>7795.63</v>
      </c>
      <c r="P170" s="4">
        <v>7795.63</v>
      </c>
      <c r="Q170" s="4">
        <v>1.7489000000000001E-2</v>
      </c>
      <c r="R170" s="2">
        <v>10</v>
      </c>
      <c r="S170" s="4">
        <v>7795.63</v>
      </c>
      <c r="T170" s="4">
        <v>7795.63</v>
      </c>
      <c r="U170">
        <v>344.70589699999999</v>
      </c>
      <c r="V170" s="2">
        <v>10</v>
      </c>
    </row>
    <row r="171" spans="1:22" x14ac:dyDescent="0.3">
      <c r="A171" t="s">
        <v>174</v>
      </c>
      <c r="B171" t="s">
        <v>189</v>
      </c>
      <c r="C171" s="2">
        <v>500</v>
      </c>
      <c r="D171" s="2">
        <v>50</v>
      </c>
      <c r="E171" s="3">
        <v>0.9971040000000001</v>
      </c>
      <c r="F171" s="4">
        <v>7736.84</v>
      </c>
      <c r="G171" s="4">
        <v>7736.84</v>
      </c>
      <c r="H171" s="4">
        <v>7736.84</v>
      </c>
      <c r="I171" s="4">
        <v>1.8623879999999999</v>
      </c>
      <c r="J171" s="2">
        <v>10</v>
      </c>
      <c r="K171" s="4">
        <v>7736.84</v>
      </c>
      <c r="L171" s="4">
        <v>7736.84</v>
      </c>
      <c r="M171" s="4">
        <v>4.4753000000000001E-2</v>
      </c>
      <c r="N171" s="2">
        <v>10</v>
      </c>
      <c r="O171" s="4">
        <v>7736.84</v>
      </c>
      <c r="P171" s="4">
        <v>7736.84</v>
      </c>
      <c r="Q171" s="4">
        <v>2.0353E-2</v>
      </c>
      <c r="R171" s="2">
        <v>10</v>
      </c>
      <c r="S171" s="4">
        <v>7736.84</v>
      </c>
      <c r="T171" s="4">
        <v>7736.84</v>
      </c>
      <c r="U171">
        <v>292.080579</v>
      </c>
      <c r="V171" s="2">
        <v>10</v>
      </c>
    </row>
    <row r="172" spans="1:22" x14ac:dyDescent="0.3">
      <c r="A172" t="s">
        <v>174</v>
      </c>
      <c r="B172" t="s">
        <v>190</v>
      </c>
      <c r="C172" s="2">
        <v>500</v>
      </c>
      <c r="D172" s="2">
        <v>50</v>
      </c>
      <c r="E172" s="3">
        <v>0.99695999999999996</v>
      </c>
      <c r="F172" s="4">
        <v>7792.77</v>
      </c>
      <c r="G172" s="4">
        <v>7792.77</v>
      </c>
      <c r="H172" s="4">
        <v>7792.77</v>
      </c>
      <c r="I172" s="4">
        <v>4.4219000000000001E-2</v>
      </c>
      <c r="J172" s="2">
        <v>10</v>
      </c>
      <c r="K172" s="4">
        <v>7792.77</v>
      </c>
      <c r="L172" s="4">
        <v>7792.77</v>
      </c>
      <c r="M172" s="4">
        <v>2.3772999999999999E-2</v>
      </c>
      <c r="N172" s="2">
        <v>10</v>
      </c>
      <c r="O172" s="4">
        <v>7792.77</v>
      </c>
      <c r="P172" s="4">
        <v>7792.77</v>
      </c>
      <c r="Q172" s="4">
        <v>1.7308E-2</v>
      </c>
      <c r="R172" s="2">
        <v>10</v>
      </c>
      <c r="S172" s="4">
        <v>7792.77</v>
      </c>
      <c r="T172" s="4">
        <v>7792.77</v>
      </c>
      <c r="U172">
        <v>257.78017199999999</v>
      </c>
      <c r="V172" s="2">
        <v>10</v>
      </c>
    </row>
    <row r="173" spans="1:22" x14ac:dyDescent="0.3">
      <c r="A173" t="s">
        <v>174</v>
      </c>
      <c r="B173" t="s">
        <v>191</v>
      </c>
      <c r="C173" s="2">
        <v>500</v>
      </c>
      <c r="D173" s="2">
        <v>50</v>
      </c>
      <c r="E173" s="3">
        <v>0.99691199999999991</v>
      </c>
      <c r="F173" s="4">
        <v>7787.2</v>
      </c>
      <c r="G173" s="4">
        <v>7787.2</v>
      </c>
      <c r="H173" s="4">
        <v>7787.2</v>
      </c>
      <c r="I173" s="4">
        <v>3.8877000000000002E-2</v>
      </c>
      <c r="J173" s="2">
        <v>10</v>
      </c>
      <c r="K173" s="4">
        <v>7787.2</v>
      </c>
      <c r="L173" s="4">
        <v>7787.2</v>
      </c>
      <c r="M173" s="4">
        <v>5.6290000000000003E-3</v>
      </c>
      <c r="N173" s="2">
        <v>10</v>
      </c>
      <c r="O173" s="4">
        <v>7787.2</v>
      </c>
      <c r="P173" s="4">
        <v>7787.2</v>
      </c>
      <c r="Q173" s="4">
        <v>5.5079999999999999E-3</v>
      </c>
      <c r="R173" s="2">
        <v>10</v>
      </c>
      <c r="S173" s="4">
        <v>7787.2</v>
      </c>
      <c r="T173" s="4">
        <v>7787.2</v>
      </c>
      <c r="U173">
        <v>333.81135399999999</v>
      </c>
      <c r="V173" s="2">
        <v>10</v>
      </c>
    </row>
    <row r="174" spans="1:22" x14ac:dyDescent="0.3">
      <c r="A174" t="s">
        <v>174</v>
      </c>
      <c r="B174" t="s">
        <v>192</v>
      </c>
      <c r="C174" s="2">
        <v>500</v>
      </c>
      <c r="D174" s="2">
        <v>50</v>
      </c>
      <c r="E174" s="3">
        <v>0.99712800000000001</v>
      </c>
      <c r="F174" s="4">
        <v>7756.26</v>
      </c>
      <c r="G174" s="4">
        <v>7756.26</v>
      </c>
      <c r="H174" s="4">
        <v>7756.26</v>
      </c>
      <c r="I174" s="4">
        <v>0.16409699999999999</v>
      </c>
      <c r="J174" s="2">
        <v>10</v>
      </c>
      <c r="K174" s="4">
        <v>7756.26</v>
      </c>
      <c r="L174" s="4">
        <v>7756.26</v>
      </c>
      <c r="M174" s="4">
        <v>4.7139E-2</v>
      </c>
      <c r="N174" s="2">
        <v>10</v>
      </c>
      <c r="O174" s="4">
        <v>7756.26</v>
      </c>
      <c r="P174" s="4">
        <v>7756.26</v>
      </c>
      <c r="Q174" s="4">
        <v>2.7310999999999998E-2</v>
      </c>
      <c r="R174" s="2">
        <v>10</v>
      </c>
      <c r="S174" s="4">
        <v>7756.26</v>
      </c>
      <c r="T174" s="4">
        <v>7756.26</v>
      </c>
      <c r="U174">
        <v>230.15285299999999</v>
      </c>
      <c r="V174" s="2">
        <v>10</v>
      </c>
    </row>
    <row r="175" spans="1:22" x14ac:dyDescent="0.3">
      <c r="A175" t="s">
        <v>174</v>
      </c>
      <c r="B175" t="s">
        <v>193</v>
      </c>
      <c r="C175" s="2">
        <v>500</v>
      </c>
      <c r="D175" s="2">
        <v>50</v>
      </c>
      <c r="E175" s="3">
        <v>0.996888</v>
      </c>
      <c r="F175" s="4">
        <v>7755.41</v>
      </c>
      <c r="G175" s="4">
        <v>7755.41</v>
      </c>
      <c r="H175" s="4">
        <v>7755.41</v>
      </c>
      <c r="I175" s="4">
        <v>0.115129</v>
      </c>
      <c r="J175" s="2">
        <v>10</v>
      </c>
      <c r="K175" s="4">
        <v>7755.41</v>
      </c>
      <c r="L175" s="4">
        <v>7755.41</v>
      </c>
      <c r="M175" s="4">
        <v>2.298E-2</v>
      </c>
      <c r="N175" s="2">
        <v>10</v>
      </c>
      <c r="O175" s="4">
        <v>7755.41</v>
      </c>
      <c r="P175" s="4">
        <v>7755.41</v>
      </c>
      <c r="Q175" s="4">
        <v>1.7923999999999999E-2</v>
      </c>
      <c r="R175" s="2">
        <v>10</v>
      </c>
      <c r="S175" s="4">
        <v>7755.41</v>
      </c>
      <c r="T175" s="4">
        <v>7755.41</v>
      </c>
      <c r="U175">
        <v>349.17870599999998</v>
      </c>
      <c r="V175" s="2">
        <v>10</v>
      </c>
    </row>
    <row r="176" spans="1:22" x14ac:dyDescent="0.3">
      <c r="A176" t="s">
        <v>174</v>
      </c>
      <c r="B176" t="s">
        <v>194</v>
      </c>
      <c r="C176" s="2">
        <v>500</v>
      </c>
      <c r="D176" s="2">
        <v>50</v>
      </c>
      <c r="E176" s="3">
        <v>0.99690400000000001</v>
      </c>
      <c r="F176" s="4">
        <v>7733.86</v>
      </c>
      <c r="G176" s="4">
        <v>7733.86</v>
      </c>
      <c r="H176" s="4">
        <v>7733.86</v>
      </c>
      <c r="I176" s="4">
        <v>0.42880600000000002</v>
      </c>
      <c r="J176" s="2">
        <v>10</v>
      </c>
      <c r="K176" s="4">
        <v>7733.86</v>
      </c>
      <c r="L176" s="4">
        <v>7733.86</v>
      </c>
      <c r="M176" s="4">
        <v>4.002E-2</v>
      </c>
      <c r="N176" s="2">
        <v>10</v>
      </c>
      <c r="O176" s="4">
        <v>7733.86</v>
      </c>
      <c r="P176" s="4">
        <v>7733.86</v>
      </c>
      <c r="Q176" s="4">
        <v>2.7199000000000001E-2</v>
      </c>
      <c r="R176" s="2">
        <v>10</v>
      </c>
      <c r="S176" s="4">
        <v>7733.86</v>
      </c>
      <c r="T176" s="4">
        <v>7733.86</v>
      </c>
      <c r="U176">
        <v>349.11236300000002</v>
      </c>
      <c r="V176" s="2">
        <v>10</v>
      </c>
    </row>
    <row r="177" spans="1:22" x14ac:dyDescent="0.3">
      <c r="A177" s="7" t="s">
        <v>366</v>
      </c>
      <c r="B177" s="7"/>
      <c r="C177" s="8"/>
      <c r="D177" s="8"/>
      <c r="E177" s="9"/>
      <c r="F177" s="10"/>
      <c r="G177" s="10"/>
      <c r="H177" s="10"/>
      <c r="I177" s="10">
        <f>AVERAGE(I157:I176)</f>
        <v>0.26762249999999999</v>
      </c>
      <c r="J177" s="8">
        <f>SUM(J157:J176)</f>
        <v>200</v>
      </c>
      <c r="K177" s="10"/>
      <c r="L177" s="10"/>
      <c r="M177" s="10">
        <f>AVERAGE(M157:M176)</f>
        <v>2.1078099999999995E-2</v>
      </c>
      <c r="N177" s="8">
        <f>SUM(N157:N176)</f>
        <v>200</v>
      </c>
      <c r="O177" s="10"/>
      <c r="P177" s="10"/>
      <c r="Q177" s="10">
        <f>AVERAGE(Q157:Q176)</f>
        <v>1.6336349999999999E-2</v>
      </c>
      <c r="R177" s="8">
        <f>SUM(R157:R176)</f>
        <v>200</v>
      </c>
      <c r="S177" s="8"/>
      <c r="T177" s="8"/>
      <c r="U177" s="10">
        <f>AVERAGE(U157:U176)</f>
        <v>314.24713385000001</v>
      </c>
      <c r="V177" s="8">
        <f>SUM(V157:V176)</f>
        <v>200</v>
      </c>
    </row>
    <row r="178" spans="1:22" x14ac:dyDescent="0.3">
      <c r="A178" t="s">
        <v>195</v>
      </c>
      <c r="B178" t="s">
        <v>196</v>
      </c>
      <c r="C178" s="2">
        <v>2000</v>
      </c>
      <c r="D178" s="2">
        <v>200</v>
      </c>
      <c r="E178" s="3">
        <v>0.99950000000000006</v>
      </c>
      <c r="F178" s="4">
        <v>11299894.826950001</v>
      </c>
      <c r="G178" s="4">
        <v>11299894.826949662</v>
      </c>
      <c r="H178" s="4">
        <v>11299894.826949727</v>
      </c>
      <c r="I178" s="4">
        <v>11.084255000000001</v>
      </c>
      <c r="J178" s="2">
        <v>10</v>
      </c>
      <c r="K178" s="4">
        <v>11299894.826949786</v>
      </c>
      <c r="L178" s="4">
        <v>11299894.826949704</v>
      </c>
      <c r="M178" s="4">
        <v>0.80467100000000003</v>
      </c>
      <c r="N178" s="2">
        <v>10</v>
      </c>
      <c r="O178" s="4">
        <v>11299894.826949786</v>
      </c>
      <c r="P178" s="4">
        <v>11299894.826949712</v>
      </c>
      <c r="Q178" s="4">
        <v>0.87563999999999997</v>
      </c>
      <c r="R178" s="2">
        <v>10</v>
      </c>
      <c r="S178" s="4">
        <v>11299894.826949712</v>
      </c>
      <c r="T178" s="4">
        <v>11299894.826949712</v>
      </c>
      <c r="U178">
        <v>268.25905499999999</v>
      </c>
      <c r="V178" s="2">
        <v>10</v>
      </c>
    </row>
    <row r="179" spans="1:22" x14ac:dyDescent="0.3">
      <c r="A179" t="s">
        <v>195</v>
      </c>
      <c r="B179" t="s">
        <v>197</v>
      </c>
      <c r="C179" s="2">
        <v>2000</v>
      </c>
      <c r="D179" s="2">
        <v>200</v>
      </c>
      <c r="E179" s="3">
        <v>0.99950000000000006</v>
      </c>
      <c r="F179" s="4">
        <v>11292398.161482001</v>
      </c>
      <c r="G179" s="4">
        <v>11292398.161481403</v>
      </c>
      <c r="H179" s="4">
        <v>11292398.161481399</v>
      </c>
      <c r="I179" s="4">
        <v>83.039169999999999</v>
      </c>
      <c r="J179" s="2">
        <v>10</v>
      </c>
      <c r="K179" s="4">
        <v>11292398.16148142</v>
      </c>
      <c r="L179" s="4">
        <v>11292398.161481427</v>
      </c>
      <c r="M179" s="4">
        <v>10.766513</v>
      </c>
      <c r="N179" s="2">
        <v>10</v>
      </c>
      <c r="O179" s="4">
        <v>11292398.16148141</v>
      </c>
      <c r="P179" s="4">
        <v>11292398.161481418</v>
      </c>
      <c r="Q179" s="4">
        <v>7.0143230000000001</v>
      </c>
      <c r="R179" s="2">
        <v>10</v>
      </c>
      <c r="S179" s="4">
        <v>11292398.161481418</v>
      </c>
      <c r="T179" s="4">
        <v>11292398.161481418</v>
      </c>
      <c r="U179">
        <v>352.87619999999998</v>
      </c>
      <c r="V179" s="2">
        <v>10</v>
      </c>
    </row>
    <row r="180" spans="1:22" x14ac:dyDescent="0.3">
      <c r="A180" t="s">
        <v>195</v>
      </c>
      <c r="B180" t="s">
        <v>198</v>
      </c>
      <c r="C180" s="2">
        <v>2000</v>
      </c>
      <c r="D180" s="2">
        <v>200</v>
      </c>
      <c r="E180" s="3">
        <v>0.99950000000000006</v>
      </c>
      <c r="F180" s="4">
        <v>11299940.462685</v>
      </c>
      <c r="G180" s="4">
        <v>11299940.462684238</v>
      </c>
      <c r="H180" s="4">
        <v>11299940.462684184</v>
      </c>
      <c r="I180" s="4">
        <v>11.848281999999999</v>
      </c>
      <c r="J180" s="2">
        <v>10</v>
      </c>
      <c r="K180" s="4">
        <v>11299940.462684242</v>
      </c>
      <c r="L180" s="4">
        <v>11299940.462684168</v>
      </c>
      <c r="M180" s="4">
        <v>2.0504790000000002</v>
      </c>
      <c r="N180" s="2">
        <v>10</v>
      </c>
      <c r="O180" s="4">
        <v>11299940.462684179</v>
      </c>
      <c r="P180" s="4">
        <v>11299940.462684158</v>
      </c>
      <c r="Q180" s="4">
        <v>0.93308400000000002</v>
      </c>
      <c r="R180" s="2">
        <v>10</v>
      </c>
      <c r="S180" s="4">
        <v>11299940.462684158</v>
      </c>
      <c r="T180" s="4">
        <v>11299940.462684158</v>
      </c>
      <c r="U180">
        <v>248.07925599999999</v>
      </c>
      <c r="V180" s="2">
        <v>10</v>
      </c>
    </row>
    <row r="181" spans="1:22" x14ac:dyDescent="0.3">
      <c r="A181" t="s">
        <v>195</v>
      </c>
      <c r="B181" t="s">
        <v>199</v>
      </c>
      <c r="C181" s="2">
        <v>2000</v>
      </c>
      <c r="D181" s="2">
        <v>200</v>
      </c>
      <c r="E181" s="3">
        <v>0.99950000000000006</v>
      </c>
      <c r="F181" s="4">
        <v>11291119.490684001</v>
      </c>
      <c r="G181" s="4">
        <v>11291119.4906833</v>
      </c>
      <c r="H181" s="4">
        <v>11291119.490683196</v>
      </c>
      <c r="I181" s="4">
        <v>113.403059</v>
      </c>
      <c r="J181" s="2">
        <v>10</v>
      </c>
      <c r="K181" s="4">
        <v>11291119.490683233</v>
      </c>
      <c r="L181" s="4">
        <v>11291119.490683164</v>
      </c>
      <c r="M181" s="4">
        <v>3.995593</v>
      </c>
      <c r="N181" s="2">
        <v>10</v>
      </c>
      <c r="O181" s="4">
        <v>11291119.490683248</v>
      </c>
      <c r="P181" s="4">
        <v>11291119.490683187</v>
      </c>
      <c r="Q181" s="4">
        <v>3.4567830000000002</v>
      </c>
      <c r="R181" s="2">
        <v>10</v>
      </c>
      <c r="S181" s="4">
        <v>11291119.490683187</v>
      </c>
      <c r="T181" s="4">
        <v>11291119.490683187</v>
      </c>
      <c r="U181">
        <v>226.859003</v>
      </c>
      <c r="V181" s="2">
        <v>10</v>
      </c>
    </row>
    <row r="182" spans="1:22" x14ac:dyDescent="0.3">
      <c r="A182" t="s">
        <v>195</v>
      </c>
      <c r="B182" t="s">
        <v>200</v>
      </c>
      <c r="C182" s="2">
        <v>2000</v>
      </c>
      <c r="D182" s="2">
        <v>200</v>
      </c>
      <c r="E182" s="3">
        <v>0.99950000000000006</v>
      </c>
      <c r="F182" s="4">
        <v>11298026.880925</v>
      </c>
      <c r="G182" s="4">
        <v>11298026.880924501</v>
      </c>
      <c r="H182" s="4">
        <v>11298026.880924514</v>
      </c>
      <c r="I182" s="4">
        <v>103.54505399999999</v>
      </c>
      <c r="J182" s="2">
        <v>10</v>
      </c>
      <c r="K182" s="4">
        <v>11298026.880924562</v>
      </c>
      <c r="L182" s="4">
        <v>11298026.880924521</v>
      </c>
      <c r="M182" s="4">
        <v>9.3518159999999995</v>
      </c>
      <c r="N182" s="2">
        <v>10</v>
      </c>
      <c r="O182" s="4">
        <v>11298026.880924506</v>
      </c>
      <c r="P182" s="4">
        <v>11298026.880924542</v>
      </c>
      <c r="Q182" s="4">
        <v>7.0625590000000003</v>
      </c>
      <c r="R182" s="2">
        <v>10</v>
      </c>
      <c r="S182" s="4">
        <v>11298026.880924542</v>
      </c>
      <c r="T182" s="4">
        <v>11298026.880924542</v>
      </c>
      <c r="U182">
        <v>219.880302</v>
      </c>
      <c r="V182" s="2">
        <v>10</v>
      </c>
    </row>
    <row r="183" spans="1:22" x14ac:dyDescent="0.3">
      <c r="A183" t="s">
        <v>195</v>
      </c>
      <c r="B183" t="s">
        <v>201</v>
      </c>
      <c r="C183" s="2">
        <v>2000</v>
      </c>
      <c r="D183" s="2">
        <v>200</v>
      </c>
      <c r="E183" s="3">
        <v>0.99950000000000006</v>
      </c>
      <c r="F183" s="4">
        <v>11298430.416818</v>
      </c>
      <c r="G183" s="4">
        <v>11298430.416817425</v>
      </c>
      <c r="H183" s="4">
        <v>11298430.416817421</v>
      </c>
      <c r="I183" s="4">
        <v>28.920946000000001</v>
      </c>
      <c r="J183" s="2">
        <v>10</v>
      </c>
      <c r="K183" s="4">
        <v>11298430.416817458</v>
      </c>
      <c r="L183" s="4">
        <v>11298430.416817417</v>
      </c>
      <c r="M183" s="4">
        <v>0.30605100000000002</v>
      </c>
      <c r="N183" s="2">
        <v>10</v>
      </c>
      <c r="O183" s="4">
        <v>11298430.416817458</v>
      </c>
      <c r="P183" s="4">
        <v>11298430.416817453</v>
      </c>
      <c r="Q183" s="4">
        <v>0.282279</v>
      </c>
      <c r="R183" s="2">
        <v>10</v>
      </c>
      <c r="S183" s="4">
        <v>11298430.416817453</v>
      </c>
      <c r="T183" s="4">
        <v>11298430.416817453</v>
      </c>
      <c r="U183">
        <v>382.47456899999997</v>
      </c>
      <c r="V183" s="2">
        <v>10</v>
      </c>
    </row>
    <row r="184" spans="1:22" x14ac:dyDescent="0.3">
      <c r="A184" t="s">
        <v>195</v>
      </c>
      <c r="B184" t="s">
        <v>202</v>
      </c>
      <c r="C184" s="2">
        <v>2000</v>
      </c>
      <c r="D184" s="2">
        <v>200</v>
      </c>
      <c r="E184" s="3">
        <v>0.99950000000000006</v>
      </c>
      <c r="F184" s="4">
        <v>11305676.848937999</v>
      </c>
      <c r="G184" s="4">
        <v>11305676.848937713</v>
      </c>
      <c r="H184" s="4">
        <v>11305676.848937774</v>
      </c>
      <c r="I184" s="4">
        <v>21.473782</v>
      </c>
      <c r="J184" s="2">
        <v>10</v>
      </c>
      <c r="K184" s="4">
        <v>11305676.848937707</v>
      </c>
      <c r="L184" s="4">
        <v>11305676.848937761</v>
      </c>
      <c r="M184" s="4">
        <v>2.4286650000000001</v>
      </c>
      <c r="N184" s="2">
        <v>10</v>
      </c>
      <c r="O184" s="4">
        <v>11305676.848937767</v>
      </c>
      <c r="P184" s="4">
        <v>11305676.848937754</v>
      </c>
      <c r="Q184" s="4">
        <v>1.186007</v>
      </c>
      <c r="R184" s="2">
        <v>10</v>
      </c>
      <c r="S184" s="4">
        <v>11305676.848937754</v>
      </c>
      <c r="T184" s="4">
        <v>11305676.848937754</v>
      </c>
      <c r="U184">
        <v>220.970538</v>
      </c>
      <c r="V184" s="2">
        <v>10</v>
      </c>
    </row>
    <row r="185" spans="1:22" x14ac:dyDescent="0.3">
      <c r="A185" t="s">
        <v>195</v>
      </c>
      <c r="B185" t="s">
        <v>203</v>
      </c>
      <c r="C185" s="2">
        <v>2000</v>
      </c>
      <c r="D185" s="2">
        <v>200</v>
      </c>
      <c r="E185" s="3">
        <v>0.99950000000000006</v>
      </c>
      <c r="F185" s="4">
        <v>11282910.880689999</v>
      </c>
      <c r="G185" s="4">
        <v>11282910.880689697</v>
      </c>
      <c r="H185" s="4">
        <v>11282910.386808254</v>
      </c>
      <c r="I185" s="4">
        <v>173.63406900000001</v>
      </c>
      <c r="J185" s="2">
        <v>5</v>
      </c>
      <c r="K185" s="4">
        <v>11282910.88068961</v>
      </c>
      <c r="L185" s="4">
        <v>11282910.880689638</v>
      </c>
      <c r="M185" s="4">
        <v>55.461917999999997</v>
      </c>
      <c r="N185" s="2">
        <v>10</v>
      </c>
      <c r="O185" s="4">
        <v>11282910.880689695</v>
      </c>
      <c r="P185" s="4">
        <v>11282910.88068966</v>
      </c>
      <c r="Q185" s="4">
        <v>21.115539999999999</v>
      </c>
      <c r="R185" s="2">
        <v>10</v>
      </c>
      <c r="S185" s="4">
        <v>11282910.88068966</v>
      </c>
      <c r="T185" s="4">
        <v>11282910.88068966</v>
      </c>
      <c r="U185">
        <v>258.87732899999997</v>
      </c>
      <c r="V185" s="2">
        <v>10</v>
      </c>
    </row>
    <row r="186" spans="1:22" x14ac:dyDescent="0.3">
      <c r="A186" t="s">
        <v>195</v>
      </c>
      <c r="B186" t="s">
        <v>204</v>
      </c>
      <c r="C186" s="2">
        <v>2000</v>
      </c>
      <c r="D186" s="2">
        <v>200</v>
      </c>
      <c r="E186" s="3">
        <v>0.99950000000000006</v>
      </c>
      <c r="F186" s="4">
        <v>11297339.482894</v>
      </c>
      <c r="G186" s="4">
        <v>11297339.482893825</v>
      </c>
      <c r="H186" s="4">
        <v>11297324.353280932</v>
      </c>
      <c r="I186" s="4">
        <v>119.870716</v>
      </c>
      <c r="J186" s="2">
        <v>9</v>
      </c>
      <c r="K186" s="4">
        <v>11297339.482893791</v>
      </c>
      <c r="L186" s="4">
        <v>11297339.482893836</v>
      </c>
      <c r="M186" s="4">
        <v>38.275413999999998</v>
      </c>
      <c r="N186" s="2">
        <v>10</v>
      </c>
      <c r="O186" s="4">
        <v>11297339.482893726</v>
      </c>
      <c r="P186" s="4">
        <v>11297339.482893843</v>
      </c>
      <c r="Q186" s="4">
        <v>15.583601</v>
      </c>
      <c r="R186" s="2">
        <v>10</v>
      </c>
      <c r="S186" s="4">
        <v>11297339.482893843</v>
      </c>
      <c r="T186" s="4">
        <v>11297339.482893843</v>
      </c>
      <c r="U186">
        <v>300.84849600000001</v>
      </c>
      <c r="V186" s="2">
        <v>10</v>
      </c>
    </row>
    <row r="187" spans="1:22" x14ac:dyDescent="0.3">
      <c r="A187" t="s">
        <v>195</v>
      </c>
      <c r="B187" t="s">
        <v>205</v>
      </c>
      <c r="C187" s="2">
        <v>2000</v>
      </c>
      <c r="D187" s="2">
        <v>200</v>
      </c>
      <c r="E187" s="3">
        <v>0.99950000000000006</v>
      </c>
      <c r="F187" s="4">
        <v>11298064.583673</v>
      </c>
      <c r="G187" s="4">
        <v>11298064.583673013</v>
      </c>
      <c r="H187" s="4">
        <v>11298064.583672982</v>
      </c>
      <c r="I187" s="4">
        <v>40.194499</v>
      </c>
      <c r="J187" s="2">
        <v>10</v>
      </c>
      <c r="K187" s="4">
        <v>11298064.583672971</v>
      </c>
      <c r="L187" s="4">
        <v>11298064.583673004</v>
      </c>
      <c r="M187" s="4">
        <v>6.2241419999999996</v>
      </c>
      <c r="N187" s="2">
        <v>10</v>
      </c>
      <c r="O187" s="4">
        <v>11298064.583672954</v>
      </c>
      <c r="P187" s="4">
        <v>11298064.583672969</v>
      </c>
      <c r="Q187" s="4">
        <v>2.676561</v>
      </c>
      <c r="R187" s="2">
        <v>10</v>
      </c>
      <c r="S187" s="4">
        <v>11298064.583672969</v>
      </c>
      <c r="T187" s="4">
        <v>11298064.583672969</v>
      </c>
      <c r="U187">
        <v>284.053878</v>
      </c>
      <c r="V187" s="2">
        <v>10</v>
      </c>
    </row>
    <row r="188" spans="1:22" x14ac:dyDescent="0.3">
      <c r="A188" t="s">
        <v>195</v>
      </c>
      <c r="B188" t="s">
        <v>206</v>
      </c>
      <c r="C188" s="2">
        <v>2000</v>
      </c>
      <c r="D188" s="2">
        <v>200</v>
      </c>
      <c r="E188" s="3">
        <v>0.99950000000000006</v>
      </c>
      <c r="F188" s="4">
        <v>11288901.171914</v>
      </c>
      <c r="G188" s="4">
        <v>11288901.171914075</v>
      </c>
      <c r="H188" s="4">
        <v>11288901.171914015</v>
      </c>
      <c r="I188" s="4">
        <v>16.324383999999998</v>
      </c>
      <c r="J188" s="2">
        <v>10</v>
      </c>
      <c r="K188" s="4">
        <v>11288901.171914062</v>
      </c>
      <c r="L188" s="4">
        <v>11288901.171914037</v>
      </c>
      <c r="M188" s="4">
        <v>3.4662099999999998</v>
      </c>
      <c r="N188" s="2">
        <v>10</v>
      </c>
      <c r="O188" s="4">
        <v>11288901.171913976</v>
      </c>
      <c r="P188" s="4">
        <v>11288901.17191403</v>
      </c>
      <c r="Q188" s="4">
        <v>1.1133029999999999</v>
      </c>
      <c r="R188" s="2">
        <v>10</v>
      </c>
      <c r="S188" s="4">
        <v>11288901.17191403</v>
      </c>
      <c r="T188" s="4">
        <v>11288901.17191403</v>
      </c>
      <c r="U188">
        <v>278.02930900000001</v>
      </c>
      <c r="V188" s="2">
        <v>10</v>
      </c>
    </row>
    <row r="189" spans="1:22" x14ac:dyDescent="0.3">
      <c r="A189" t="s">
        <v>195</v>
      </c>
      <c r="B189" t="s">
        <v>207</v>
      </c>
      <c r="C189" s="2">
        <v>2000</v>
      </c>
      <c r="D189" s="2">
        <v>200</v>
      </c>
      <c r="E189" s="3">
        <v>0.99950000000000006</v>
      </c>
      <c r="F189" s="4">
        <v>11283539.257941</v>
      </c>
      <c r="G189" s="4">
        <v>11283539.257940816</v>
      </c>
      <c r="H189" s="4">
        <v>11283526.777670134</v>
      </c>
      <c r="I189" s="4">
        <v>289.48613499999999</v>
      </c>
      <c r="J189" s="2">
        <v>8</v>
      </c>
      <c r="K189" s="4">
        <v>11283539.25794084</v>
      </c>
      <c r="L189" s="4">
        <v>11283539.257940847</v>
      </c>
      <c r="M189" s="4">
        <v>25.280895999999998</v>
      </c>
      <c r="N189" s="2">
        <v>10</v>
      </c>
      <c r="O189" s="4">
        <v>11283539.257940885</v>
      </c>
      <c r="P189" s="4">
        <v>11283539.257940872</v>
      </c>
      <c r="Q189" s="4">
        <v>18.919982999999998</v>
      </c>
      <c r="R189" s="2">
        <v>10</v>
      </c>
      <c r="S189" s="4">
        <v>11283539.257940872</v>
      </c>
      <c r="T189" s="4">
        <v>11283539.257940872</v>
      </c>
      <c r="U189">
        <v>319.26115700000003</v>
      </c>
      <c r="V189" s="2">
        <v>10</v>
      </c>
    </row>
    <row r="190" spans="1:22" x14ac:dyDescent="0.3">
      <c r="A190" t="s">
        <v>195</v>
      </c>
      <c r="B190" t="s">
        <v>208</v>
      </c>
      <c r="C190" s="2">
        <v>2000</v>
      </c>
      <c r="D190" s="2">
        <v>200</v>
      </c>
      <c r="E190" s="3">
        <v>0.99950000000000006</v>
      </c>
      <c r="F190" s="4">
        <v>11298038.129276</v>
      </c>
      <c r="G190" s="4">
        <v>11298038.129276237</v>
      </c>
      <c r="H190" s="4">
        <v>11297940.380120579</v>
      </c>
      <c r="I190" s="4">
        <v>197.81751600000001</v>
      </c>
      <c r="J190" s="2">
        <v>8</v>
      </c>
      <c r="K190" s="4">
        <v>11298038.129276194</v>
      </c>
      <c r="L190" s="4">
        <v>11298038.129276192</v>
      </c>
      <c r="M190" s="4">
        <v>41.419195000000002</v>
      </c>
      <c r="N190" s="2">
        <v>10</v>
      </c>
      <c r="O190" s="4">
        <v>11298038.129276179</v>
      </c>
      <c r="P190" s="4">
        <v>11298038.129276201</v>
      </c>
      <c r="Q190" s="4">
        <v>43.760199999999998</v>
      </c>
      <c r="R190" s="2">
        <v>10</v>
      </c>
      <c r="S190" s="4">
        <v>11298038.129276201</v>
      </c>
      <c r="T190" s="4">
        <v>11298038.129276201</v>
      </c>
      <c r="U190">
        <v>345.66890100000001</v>
      </c>
      <c r="V190" s="2">
        <v>10</v>
      </c>
    </row>
    <row r="191" spans="1:22" x14ac:dyDescent="0.3">
      <c r="A191" t="s">
        <v>195</v>
      </c>
      <c r="B191" t="s">
        <v>209</v>
      </c>
      <c r="C191" s="2">
        <v>2000</v>
      </c>
      <c r="D191" s="2">
        <v>200</v>
      </c>
      <c r="E191" s="3">
        <v>0.99950000000000006</v>
      </c>
      <c r="F191" s="4">
        <v>11290482.634834001</v>
      </c>
      <c r="G191" s="4">
        <v>11290482.634833369</v>
      </c>
      <c r="H191" s="4">
        <v>11290482.634833427</v>
      </c>
      <c r="I191" s="4">
        <v>106.002263</v>
      </c>
      <c r="J191" s="2">
        <v>10</v>
      </c>
      <c r="K191" s="4">
        <v>11290482.634833347</v>
      </c>
      <c r="L191" s="4">
        <v>11290482.634833395</v>
      </c>
      <c r="M191" s="4">
        <v>10.921004</v>
      </c>
      <c r="N191" s="2">
        <v>10</v>
      </c>
      <c r="O191" s="4">
        <v>11290482.634833431</v>
      </c>
      <c r="P191" s="4">
        <v>11290482.634833388</v>
      </c>
      <c r="Q191" s="4">
        <v>11.883632</v>
      </c>
      <c r="R191" s="2">
        <v>10</v>
      </c>
      <c r="S191" s="4">
        <v>11290482.634833388</v>
      </c>
      <c r="T191" s="4">
        <v>11290482.634833388</v>
      </c>
      <c r="U191">
        <v>319.810833</v>
      </c>
      <c r="V191" s="2">
        <v>10</v>
      </c>
    </row>
    <row r="192" spans="1:22" x14ac:dyDescent="0.3">
      <c r="A192" t="s">
        <v>195</v>
      </c>
      <c r="B192" t="s">
        <v>210</v>
      </c>
      <c r="C192" s="2">
        <v>2000</v>
      </c>
      <c r="D192" s="2">
        <v>200</v>
      </c>
      <c r="E192" s="3">
        <v>0.99950000000000006</v>
      </c>
      <c r="F192" s="4">
        <v>11307424.090151001</v>
      </c>
      <c r="G192" s="4">
        <v>11307424.090150522</v>
      </c>
      <c r="H192" s="4">
        <v>11307424.090150509</v>
      </c>
      <c r="I192" s="4">
        <v>11.981488000000001</v>
      </c>
      <c r="J192" s="2">
        <v>10</v>
      </c>
      <c r="K192" s="4">
        <v>11307424.090150535</v>
      </c>
      <c r="L192" s="4">
        <v>11307424.090150539</v>
      </c>
      <c r="M192" s="4">
        <v>0.93467800000000001</v>
      </c>
      <c r="N192" s="2">
        <v>10</v>
      </c>
      <c r="O192" s="4">
        <v>11307424.090150477</v>
      </c>
      <c r="P192" s="4">
        <v>11307424.090150502</v>
      </c>
      <c r="Q192" s="4">
        <v>0.61232299999999995</v>
      </c>
      <c r="R192" s="2">
        <v>10</v>
      </c>
      <c r="S192" s="4">
        <v>11307424.090150502</v>
      </c>
      <c r="T192" s="4">
        <v>11307424.090150502</v>
      </c>
      <c r="U192">
        <v>288.07495799999998</v>
      </c>
      <c r="V192" s="2">
        <v>10</v>
      </c>
    </row>
    <row r="193" spans="1:22" x14ac:dyDescent="0.3">
      <c r="A193" t="s">
        <v>195</v>
      </c>
      <c r="B193" t="s">
        <v>211</v>
      </c>
      <c r="C193" s="2">
        <v>2000</v>
      </c>
      <c r="D193" s="2">
        <v>200</v>
      </c>
      <c r="E193" s="3">
        <v>0.99950000000000006</v>
      </c>
      <c r="F193" s="4">
        <v>11302892.010384001</v>
      </c>
      <c r="G193" s="4">
        <v>11302892.010383209</v>
      </c>
      <c r="H193" s="4">
        <v>11302892.010383224</v>
      </c>
      <c r="I193" s="4">
        <v>33.235819999999997</v>
      </c>
      <c r="J193" s="2">
        <v>10</v>
      </c>
      <c r="K193" s="4">
        <v>11302892.010383254</v>
      </c>
      <c r="L193" s="4">
        <v>11302892.010383228</v>
      </c>
      <c r="M193" s="4">
        <v>4.8638709999999996</v>
      </c>
      <c r="N193" s="2">
        <v>10</v>
      </c>
      <c r="O193" s="4">
        <v>11302892.010383321</v>
      </c>
      <c r="P193" s="4">
        <v>11302892.010383243</v>
      </c>
      <c r="Q193" s="4">
        <v>3.1102249999999998</v>
      </c>
      <c r="R193" s="2">
        <v>10</v>
      </c>
      <c r="S193" s="4">
        <v>11302892.010383243</v>
      </c>
      <c r="T193" s="4">
        <v>11302892.010383243</v>
      </c>
      <c r="U193">
        <v>299.111672</v>
      </c>
      <c r="V193" s="2">
        <v>10</v>
      </c>
    </row>
    <row r="194" spans="1:22" x14ac:dyDescent="0.3">
      <c r="A194" t="s">
        <v>195</v>
      </c>
      <c r="B194" t="s">
        <v>212</v>
      </c>
      <c r="C194" s="2">
        <v>2000</v>
      </c>
      <c r="D194" s="2">
        <v>200</v>
      </c>
      <c r="E194" s="3">
        <v>0.99950000000000006</v>
      </c>
      <c r="F194" s="4">
        <v>11295773.7621</v>
      </c>
      <c r="G194" s="4">
        <v>11295773.762100145</v>
      </c>
      <c r="H194" s="4">
        <v>11295773.762100127</v>
      </c>
      <c r="I194" s="4">
        <v>36.562041000000001</v>
      </c>
      <c r="J194" s="2">
        <v>10</v>
      </c>
      <c r="K194" s="4">
        <v>11295773.762100084</v>
      </c>
      <c r="L194" s="4">
        <v>11295773.762100119</v>
      </c>
      <c r="M194" s="4">
        <v>10.01291</v>
      </c>
      <c r="N194" s="2">
        <v>10</v>
      </c>
      <c r="O194" s="4">
        <v>11295773.762100071</v>
      </c>
      <c r="P194" s="4">
        <v>11295773.762100104</v>
      </c>
      <c r="Q194" s="4">
        <v>3.6844359999999998</v>
      </c>
      <c r="R194" s="2">
        <v>10</v>
      </c>
      <c r="S194" s="4">
        <v>11295773.762100104</v>
      </c>
      <c r="T194" s="4">
        <v>11295773.762100104</v>
      </c>
      <c r="U194">
        <v>228.12209799999999</v>
      </c>
      <c r="V194" s="2">
        <v>10</v>
      </c>
    </row>
    <row r="195" spans="1:22" x14ac:dyDescent="0.3">
      <c r="A195" t="s">
        <v>195</v>
      </c>
      <c r="B195" t="s">
        <v>213</v>
      </c>
      <c r="C195" s="2">
        <v>2000</v>
      </c>
      <c r="D195" s="2">
        <v>200</v>
      </c>
      <c r="E195" s="3">
        <v>0.99950000000000006</v>
      </c>
      <c r="F195" s="4">
        <v>11296535.520041</v>
      </c>
      <c r="G195" s="4">
        <v>11296535.520040579</v>
      </c>
      <c r="H195" s="4">
        <v>11296535.520040587</v>
      </c>
      <c r="I195" s="4">
        <v>80.134317999999993</v>
      </c>
      <c r="J195" s="2">
        <v>10</v>
      </c>
      <c r="K195" s="4">
        <v>11296535.520040533</v>
      </c>
      <c r="L195" s="4">
        <v>11296535.520040559</v>
      </c>
      <c r="M195" s="4">
        <v>5.8793009999999999</v>
      </c>
      <c r="N195" s="2">
        <v>10</v>
      </c>
      <c r="O195" s="4">
        <v>11296535.520040553</v>
      </c>
      <c r="P195" s="4">
        <v>11296535.52004059</v>
      </c>
      <c r="Q195" s="4">
        <v>3.8394810000000001</v>
      </c>
      <c r="R195" s="2">
        <v>10</v>
      </c>
      <c r="S195" s="4">
        <v>11296535.52004059</v>
      </c>
      <c r="T195" s="4">
        <v>11296535.52004059</v>
      </c>
      <c r="U195">
        <v>310.18916100000001</v>
      </c>
      <c r="V195" s="2">
        <v>10</v>
      </c>
    </row>
    <row r="196" spans="1:22" x14ac:dyDescent="0.3">
      <c r="A196" t="s">
        <v>195</v>
      </c>
      <c r="B196" t="s">
        <v>214</v>
      </c>
      <c r="C196" s="2">
        <v>2000</v>
      </c>
      <c r="D196" s="2">
        <v>200</v>
      </c>
      <c r="E196" s="3">
        <v>0.99950000000000006</v>
      </c>
      <c r="F196" s="4">
        <v>11295054.202273</v>
      </c>
      <c r="G196" s="4">
        <v>11295054.202273017</v>
      </c>
      <c r="H196" s="4">
        <v>11295054.202272983</v>
      </c>
      <c r="I196" s="4">
        <v>59.918819999999997</v>
      </c>
      <c r="J196" s="2">
        <v>10</v>
      </c>
      <c r="K196" s="4">
        <v>11295054.202272994</v>
      </c>
      <c r="L196" s="4">
        <v>11295054.202272937</v>
      </c>
      <c r="M196" s="4">
        <v>5.4105169999999996</v>
      </c>
      <c r="N196" s="2">
        <v>10</v>
      </c>
      <c r="O196" s="4">
        <v>11295054.202273002</v>
      </c>
      <c r="P196" s="4">
        <v>11295054.202272974</v>
      </c>
      <c r="Q196" s="4">
        <v>2.6158670000000002</v>
      </c>
      <c r="R196" s="2">
        <v>10</v>
      </c>
      <c r="S196" s="4">
        <v>11295054.202272974</v>
      </c>
      <c r="T196" s="4">
        <v>11295054.202272974</v>
      </c>
      <c r="U196">
        <v>237.14211399999999</v>
      </c>
      <c r="V196" s="2">
        <v>10</v>
      </c>
    </row>
    <row r="197" spans="1:22" x14ac:dyDescent="0.3">
      <c r="A197" t="s">
        <v>195</v>
      </c>
      <c r="B197" t="s">
        <v>215</v>
      </c>
      <c r="C197" s="2">
        <v>2000</v>
      </c>
      <c r="D197" s="2">
        <v>200</v>
      </c>
      <c r="E197" s="3">
        <v>0.99950000000000006</v>
      </c>
      <c r="F197" s="4">
        <v>11309162.635267001</v>
      </c>
      <c r="G197" s="4">
        <v>11309162.635267122</v>
      </c>
      <c r="H197" s="4">
        <v>11309162.635267138</v>
      </c>
      <c r="I197" s="4">
        <v>36.663688999999998</v>
      </c>
      <c r="J197" s="2">
        <v>10</v>
      </c>
      <c r="K197" s="4">
        <v>11309162.63526715</v>
      </c>
      <c r="L197" s="4">
        <v>11309162.635267146</v>
      </c>
      <c r="M197" s="4">
        <v>3.9067150000000002</v>
      </c>
      <c r="N197" s="2">
        <v>10</v>
      </c>
      <c r="O197" s="4">
        <v>11309162.635267122</v>
      </c>
      <c r="P197" s="4">
        <v>11309162.635267138</v>
      </c>
      <c r="Q197" s="4">
        <v>2.0800109999999998</v>
      </c>
      <c r="R197" s="2">
        <v>10</v>
      </c>
      <c r="S197" s="4">
        <v>11309162.635267138</v>
      </c>
      <c r="T197" s="4">
        <v>11309162.635267138</v>
      </c>
      <c r="U197">
        <v>288.986358</v>
      </c>
      <c r="V197" s="2">
        <v>10</v>
      </c>
    </row>
    <row r="198" spans="1:22" x14ac:dyDescent="0.3">
      <c r="A198" s="7" t="s">
        <v>367</v>
      </c>
      <c r="B198" s="7"/>
      <c r="C198" s="8"/>
      <c r="D198" s="8"/>
      <c r="E198" s="9"/>
      <c r="F198" s="10"/>
      <c r="G198" s="10"/>
      <c r="H198" s="12">
        <f t="array" ref="H198">AVERAGE((F178:F197-H178:H197)/F178:F197)</f>
        <v>5.5704609897057975E-7</v>
      </c>
      <c r="I198" s="10"/>
      <c r="J198" s="8">
        <f>SUM(J178:J197)</f>
        <v>190</v>
      </c>
      <c r="K198" s="10"/>
      <c r="L198" s="10"/>
      <c r="M198" s="10">
        <f>AVERAGE(M178:M197)</f>
        <v>12.088027949999997</v>
      </c>
      <c r="N198" s="8">
        <f>SUM(N178:N197)</f>
        <v>200</v>
      </c>
      <c r="O198" s="10"/>
      <c r="P198" s="10"/>
      <c r="Q198" s="10">
        <f>AVERAGE(Q178:Q197)</f>
        <v>7.5902919000000022</v>
      </c>
      <c r="R198" s="8">
        <f>SUM(R178:R197)</f>
        <v>200</v>
      </c>
      <c r="S198" s="8"/>
      <c r="T198" s="8"/>
      <c r="U198" s="10">
        <f>AVERAGE(U178:U197)</f>
        <v>283.87875935</v>
      </c>
      <c r="V198" s="8">
        <f>SUM(V178:V197)</f>
        <v>200</v>
      </c>
    </row>
    <row r="199" spans="1:22" x14ac:dyDescent="0.3">
      <c r="A199" t="s">
        <v>216</v>
      </c>
      <c r="B199" t="s">
        <v>217</v>
      </c>
      <c r="C199" s="2">
        <v>500</v>
      </c>
      <c r="D199" s="2">
        <v>50</v>
      </c>
      <c r="E199" s="3">
        <v>0.99799199999999999</v>
      </c>
      <c r="F199" s="4">
        <v>778030.57</v>
      </c>
      <c r="G199" s="4">
        <v>778030.56999999902</v>
      </c>
      <c r="H199" s="4">
        <v>778030.57</v>
      </c>
      <c r="I199" s="4">
        <v>4.0065000000000003E-2</v>
      </c>
      <c r="J199" s="2">
        <v>10</v>
      </c>
      <c r="K199" s="4">
        <v>778030.57</v>
      </c>
      <c r="L199" s="4">
        <v>778030.57</v>
      </c>
      <c r="M199" s="4">
        <v>1.3695000000000001E-2</v>
      </c>
      <c r="N199" s="2">
        <v>10</v>
      </c>
      <c r="O199" s="4">
        <v>778030.57</v>
      </c>
      <c r="P199" s="4">
        <v>778030.57</v>
      </c>
      <c r="Q199" s="4">
        <v>1.2435E-2</v>
      </c>
      <c r="R199" s="2">
        <v>10</v>
      </c>
      <c r="S199" s="4">
        <v>778030.57</v>
      </c>
      <c r="T199" s="4">
        <v>778030.57</v>
      </c>
      <c r="U199">
        <v>418.56430999999998</v>
      </c>
      <c r="V199" s="2">
        <v>10</v>
      </c>
    </row>
    <row r="200" spans="1:22" x14ac:dyDescent="0.3">
      <c r="A200" t="s">
        <v>216</v>
      </c>
      <c r="B200" t="s">
        <v>218</v>
      </c>
      <c r="C200" s="2">
        <v>500</v>
      </c>
      <c r="D200" s="2">
        <v>50</v>
      </c>
      <c r="E200" s="3">
        <v>0.99798399999999998</v>
      </c>
      <c r="F200" s="4">
        <v>779963.54</v>
      </c>
      <c r="G200" s="4">
        <v>779963.54</v>
      </c>
      <c r="H200" s="4">
        <v>779963.54</v>
      </c>
      <c r="I200" s="4">
        <v>3.8517000000000003E-2</v>
      </c>
      <c r="J200" s="2">
        <v>10</v>
      </c>
      <c r="K200" s="4">
        <v>779963.54</v>
      </c>
      <c r="L200" s="4">
        <v>779963.54</v>
      </c>
      <c r="M200" s="4">
        <v>6.1919999999999996E-3</v>
      </c>
      <c r="N200" s="2">
        <v>10</v>
      </c>
      <c r="O200" s="4">
        <v>779963.54000000097</v>
      </c>
      <c r="P200" s="4">
        <v>779963.54</v>
      </c>
      <c r="Q200" s="4">
        <v>5.5399999999999998E-3</v>
      </c>
      <c r="R200" s="2">
        <v>10</v>
      </c>
      <c r="S200" s="4">
        <v>779963.54</v>
      </c>
      <c r="T200" s="4">
        <v>779963.54</v>
      </c>
      <c r="U200">
        <v>285.86833899999999</v>
      </c>
      <c r="V200" s="2">
        <v>10</v>
      </c>
    </row>
    <row r="201" spans="1:22" x14ac:dyDescent="0.3">
      <c r="A201" t="s">
        <v>216</v>
      </c>
      <c r="B201" t="s">
        <v>219</v>
      </c>
      <c r="C201" s="2">
        <v>500</v>
      </c>
      <c r="D201" s="2">
        <v>50</v>
      </c>
      <c r="E201" s="3">
        <v>0.99799199999999999</v>
      </c>
      <c r="F201" s="4">
        <v>776768.17</v>
      </c>
      <c r="G201" s="4">
        <v>776768.17000000097</v>
      </c>
      <c r="H201" s="4">
        <v>776768.16999999899</v>
      </c>
      <c r="I201" s="4">
        <v>0.13788600000000001</v>
      </c>
      <c r="J201" s="2">
        <v>10</v>
      </c>
      <c r="K201" s="4">
        <v>776768.17000000097</v>
      </c>
      <c r="L201" s="4">
        <v>776768.17</v>
      </c>
      <c r="M201" s="4">
        <v>2.1453E-2</v>
      </c>
      <c r="N201" s="2">
        <v>10</v>
      </c>
      <c r="O201" s="4">
        <v>776768.17000000097</v>
      </c>
      <c r="P201" s="4">
        <v>776768.17</v>
      </c>
      <c r="Q201" s="4">
        <v>1.5821999999999999E-2</v>
      </c>
      <c r="R201" s="2">
        <v>10</v>
      </c>
      <c r="S201" s="4">
        <v>776768.17</v>
      </c>
      <c r="T201" s="4">
        <v>776768.17</v>
      </c>
      <c r="U201">
        <v>313.52741700000001</v>
      </c>
      <c r="V201" s="2">
        <v>10</v>
      </c>
    </row>
    <row r="202" spans="1:22" x14ac:dyDescent="0.3">
      <c r="A202" t="s">
        <v>216</v>
      </c>
      <c r="B202" t="s">
        <v>220</v>
      </c>
      <c r="C202" s="2">
        <v>500</v>
      </c>
      <c r="D202" s="2">
        <v>50</v>
      </c>
      <c r="E202" s="3">
        <v>0.998</v>
      </c>
      <c r="F202" s="4">
        <v>775394.47</v>
      </c>
      <c r="G202" s="4">
        <v>775394.46999999695</v>
      </c>
      <c r="H202" s="4">
        <v>775394.47</v>
      </c>
      <c r="I202" s="4">
        <v>0.254334</v>
      </c>
      <c r="J202" s="2">
        <v>10</v>
      </c>
      <c r="K202" s="4">
        <v>775394.46999999695</v>
      </c>
      <c r="L202" s="4">
        <v>775394.47</v>
      </c>
      <c r="M202" s="4">
        <v>2.8514000000000001E-2</v>
      </c>
      <c r="N202" s="2">
        <v>10</v>
      </c>
      <c r="O202" s="4">
        <v>775394.46999999695</v>
      </c>
      <c r="P202" s="4">
        <v>775394.47</v>
      </c>
      <c r="Q202" s="4">
        <v>2.4153000000000001E-2</v>
      </c>
      <c r="R202" s="2">
        <v>10</v>
      </c>
      <c r="S202" s="4">
        <v>775394.47</v>
      </c>
      <c r="T202" s="4">
        <v>775394.47</v>
      </c>
      <c r="U202">
        <v>404.89579400000002</v>
      </c>
      <c r="V202" s="2">
        <v>10</v>
      </c>
    </row>
    <row r="203" spans="1:22" x14ac:dyDescent="0.3">
      <c r="A203" t="s">
        <v>216</v>
      </c>
      <c r="B203" t="s">
        <v>221</v>
      </c>
      <c r="C203" s="2">
        <v>500</v>
      </c>
      <c r="D203" s="2">
        <v>50</v>
      </c>
      <c r="E203" s="3">
        <v>0.99798399999999998</v>
      </c>
      <c r="F203" s="4">
        <v>775610.96</v>
      </c>
      <c r="G203" s="4">
        <v>775610.95999999903</v>
      </c>
      <c r="H203" s="4">
        <v>775610.96000000101</v>
      </c>
      <c r="I203" s="4">
        <v>0.58432700000000004</v>
      </c>
      <c r="J203" s="2">
        <v>10</v>
      </c>
      <c r="K203" s="4">
        <v>775610.96</v>
      </c>
      <c r="L203" s="4">
        <v>775610.96000000101</v>
      </c>
      <c r="M203" s="4">
        <v>3.3960999999999998E-2</v>
      </c>
      <c r="N203" s="2">
        <v>10</v>
      </c>
      <c r="O203" s="4">
        <v>775610.96</v>
      </c>
      <c r="P203" s="4">
        <v>775610.96</v>
      </c>
      <c r="Q203" s="4">
        <v>1.9687E-2</v>
      </c>
      <c r="R203" s="2">
        <v>10</v>
      </c>
      <c r="S203" s="4">
        <v>775610.96</v>
      </c>
      <c r="T203" s="4">
        <v>775610.96</v>
      </c>
      <c r="U203">
        <v>241.41306399999999</v>
      </c>
      <c r="V203" s="2">
        <v>10</v>
      </c>
    </row>
    <row r="204" spans="1:22" x14ac:dyDescent="0.3">
      <c r="A204" t="s">
        <v>216</v>
      </c>
      <c r="B204" t="s">
        <v>222</v>
      </c>
      <c r="C204" s="2">
        <v>500</v>
      </c>
      <c r="D204" s="2">
        <v>50</v>
      </c>
      <c r="E204" s="3">
        <v>0.99799199999999999</v>
      </c>
      <c r="F204" s="4">
        <v>775153.58</v>
      </c>
      <c r="G204" s="4">
        <v>775153.58000000101</v>
      </c>
      <c r="H204" s="4">
        <v>775153.58</v>
      </c>
      <c r="I204" s="4">
        <v>3.9201E-2</v>
      </c>
      <c r="J204" s="2">
        <v>10</v>
      </c>
      <c r="K204" s="4">
        <v>775153.58000000101</v>
      </c>
      <c r="L204" s="4">
        <v>775153.58</v>
      </c>
      <c r="M204" s="4">
        <v>9.2809999999999993E-3</v>
      </c>
      <c r="N204" s="2">
        <v>10</v>
      </c>
      <c r="O204" s="4">
        <v>775153.58000000101</v>
      </c>
      <c r="P204" s="4">
        <v>775153.58</v>
      </c>
      <c r="Q204" s="4">
        <v>5.7990000000000003E-3</v>
      </c>
      <c r="R204" s="2">
        <v>10</v>
      </c>
      <c r="S204" s="4">
        <v>775153.58</v>
      </c>
      <c r="T204" s="4">
        <v>775153.58</v>
      </c>
      <c r="U204">
        <v>250.789222</v>
      </c>
      <c r="V204" s="2">
        <v>10</v>
      </c>
    </row>
    <row r="205" spans="1:22" x14ac:dyDescent="0.3">
      <c r="A205" t="s">
        <v>216</v>
      </c>
      <c r="B205" t="s">
        <v>223</v>
      </c>
      <c r="C205" s="2">
        <v>500</v>
      </c>
      <c r="D205" s="2">
        <v>50</v>
      </c>
      <c r="E205" s="3">
        <v>0.99799199999999999</v>
      </c>
      <c r="F205" s="4">
        <v>777232.88</v>
      </c>
      <c r="G205" s="4">
        <v>777232.88000000303</v>
      </c>
      <c r="H205" s="4">
        <v>777232.88</v>
      </c>
      <c r="I205" s="4">
        <v>0.201569</v>
      </c>
      <c r="J205" s="2">
        <v>10</v>
      </c>
      <c r="K205" s="4">
        <v>777232.88</v>
      </c>
      <c r="L205" s="4">
        <v>777232.88</v>
      </c>
      <c r="M205" s="4">
        <v>1.9122E-2</v>
      </c>
      <c r="N205" s="2">
        <v>10</v>
      </c>
      <c r="O205" s="4">
        <v>777232.88</v>
      </c>
      <c r="P205" s="4">
        <v>777232.88</v>
      </c>
      <c r="Q205" s="4">
        <v>1.2403000000000001E-2</v>
      </c>
      <c r="R205" s="2">
        <v>10</v>
      </c>
      <c r="S205" s="4">
        <v>777232.88</v>
      </c>
      <c r="T205" s="4">
        <v>777232.88</v>
      </c>
      <c r="U205">
        <v>302.664444</v>
      </c>
      <c r="V205" s="2">
        <v>10</v>
      </c>
    </row>
    <row r="206" spans="1:22" x14ac:dyDescent="0.3">
      <c r="A206" t="s">
        <v>216</v>
      </c>
      <c r="B206" t="s">
        <v>224</v>
      </c>
      <c r="C206" s="2">
        <v>500</v>
      </c>
      <c r="D206" s="2">
        <v>50</v>
      </c>
      <c r="E206" s="3">
        <v>0.998</v>
      </c>
      <c r="F206" s="4">
        <v>779168.62</v>
      </c>
      <c r="G206" s="4">
        <v>779168.61999999802</v>
      </c>
      <c r="H206" s="4">
        <v>779168.61999999895</v>
      </c>
      <c r="I206" s="4">
        <v>2.0579E-2</v>
      </c>
      <c r="J206" s="2">
        <v>10</v>
      </c>
      <c r="K206" s="4">
        <v>779168.61999999802</v>
      </c>
      <c r="L206" s="4">
        <v>779168.61999999895</v>
      </c>
      <c r="M206" s="4">
        <v>1.0562E-2</v>
      </c>
      <c r="N206" s="2">
        <v>10</v>
      </c>
      <c r="O206" s="4">
        <v>779168.61999999802</v>
      </c>
      <c r="P206" s="4">
        <v>779168.61999999895</v>
      </c>
      <c r="Q206" s="4">
        <v>1.0154E-2</v>
      </c>
      <c r="R206" s="2">
        <v>10</v>
      </c>
      <c r="S206" s="4">
        <v>779168.61999999895</v>
      </c>
      <c r="T206" s="4">
        <v>779168.61999999895</v>
      </c>
      <c r="U206">
        <v>227.48211000000001</v>
      </c>
      <c r="V206" s="2">
        <v>10</v>
      </c>
    </row>
    <row r="207" spans="1:22" x14ac:dyDescent="0.3">
      <c r="A207" t="s">
        <v>216</v>
      </c>
      <c r="B207" t="s">
        <v>225</v>
      </c>
      <c r="C207" s="2">
        <v>500</v>
      </c>
      <c r="D207" s="2">
        <v>50</v>
      </c>
      <c r="E207" s="3">
        <v>0.99798399999999998</v>
      </c>
      <c r="F207" s="4">
        <v>774802.05</v>
      </c>
      <c r="G207" s="4">
        <v>774802.05</v>
      </c>
      <c r="H207" s="4">
        <v>774802.05000000098</v>
      </c>
      <c r="I207" s="4">
        <v>0.236125</v>
      </c>
      <c r="J207" s="2">
        <v>10</v>
      </c>
      <c r="K207" s="4">
        <v>774802.05000000098</v>
      </c>
      <c r="L207" s="4">
        <v>774802.05</v>
      </c>
      <c r="M207" s="4">
        <v>3.8655000000000002E-2</v>
      </c>
      <c r="N207" s="2">
        <v>10</v>
      </c>
      <c r="O207" s="4">
        <v>774802.05000000098</v>
      </c>
      <c r="P207" s="4">
        <v>774802.05000000098</v>
      </c>
      <c r="Q207" s="4">
        <v>2.8638E-2</v>
      </c>
      <c r="R207" s="2">
        <v>10</v>
      </c>
      <c r="S207" s="4">
        <v>774802.05000000098</v>
      </c>
      <c r="T207" s="4">
        <v>774802.05000000098</v>
      </c>
      <c r="U207">
        <v>287.930926</v>
      </c>
      <c r="V207" s="2">
        <v>10</v>
      </c>
    </row>
    <row r="208" spans="1:22" x14ac:dyDescent="0.3">
      <c r="A208" t="s">
        <v>216</v>
      </c>
      <c r="B208" t="s">
        <v>226</v>
      </c>
      <c r="C208" s="2">
        <v>500</v>
      </c>
      <c r="D208" s="2">
        <v>50</v>
      </c>
      <c r="E208" s="3">
        <v>0.99799199999999999</v>
      </c>
      <c r="F208" s="4">
        <v>774961.12</v>
      </c>
      <c r="G208" s="4">
        <v>774961.11999999895</v>
      </c>
      <c r="H208" s="4">
        <v>774961.12</v>
      </c>
      <c r="I208" s="4">
        <v>1.30575</v>
      </c>
      <c r="J208" s="2">
        <v>10</v>
      </c>
      <c r="K208" s="4">
        <v>774961.11999999895</v>
      </c>
      <c r="L208" s="4">
        <v>774961.11999999802</v>
      </c>
      <c r="M208" s="4">
        <v>9.3983999999999998E-2</v>
      </c>
      <c r="N208" s="2">
        <v>10</v>
      </c>
      <c r="O208" s="4">
        <v>774961.11999999895</v>
      </c>
      <c r="P208" s="4">
        <v>774961.11999999895</v>
      </c>
      <c r="Q208" s="4">
        <v>7.4694999999999998E-2</v>
      </c>
      <c r="R208" s="2">
        <v>10</v>
      </c>
      <c r="S208" s="4">
        <v>774961.11999999895</v>
      </c>
      <c r="T208" s="4">
        <v>774961.11999999895</v>
      </c>
      <c r="U208">
        <v>263.41334499999999</v>
      </c>
      <c r="V208" s="2">
        <v>10</v>
      </c>
    </row>
    <row r="209" spans="1:22" x14ac:dyDescent="0.3">
      <c r="A209" t="s">
        <v>216</v>
      </c>
      <c r="B209" t="s">
        <v>227</v>
      </c>
      <c r="C209" s="2">
        <v>500</v>
      </c>
      <c r="D209" s="2">
        <v>50</v>
      </c>
      <c r="E209" s="3">
        <v>0.998</v>
      </c>
      <c r="F209" s="4">
        <v>777468.78</v>
      </c>
      <c r="G209" s="4">
        <v>777468.77999999898</v>
      </c>
      <c r="H209" s="4">
        <v>777468.78</v>
      </c>
      <c r="I209" s="4">
        <v>0.22436200000000001</v>
      </c>
      <c r="J209" s="2">
        <v>10</v>
      </c>
      <c r="K209" s="4">
        <v>777468.77999999898</v>
      </c>
      <c r="L209" s="4">
        <v>777468.78</v>
      </c>
      <c r="M209" s="4">
        <v>9.3010000000000002E-3</v>
      </c>
      <c r="N209" s="2">
        <v>10</v>
      </c>
      <c r="O209" s="4">
        <v>777468.77999999898</v>
      </c>
      <c r="P209" s="4">
        <v>777468.77999999898</v>
      </c>
      <c r="Q209" s="4">
        <v>8.8190000000000004E-3</v>
      </c>
      <c r="R209" s="2">
        <v>10</v>
      </c>
      <c r="S209" s="4">
        <v>777468.77999999898</v>
      </c>
      <c r="T209" s="4">
        <v>777468.77999999898</v>
      </c>
      <c r="U209">
        <v>198.30126300000001</v>
      </c>
      <c r="V209" s="2">
        <v>10</v>
      </c>
    </row>
    <row r="210" spans="1:22" x14ac:dyDescent="0.3">
      <c r="A210" t="s">
        <v>216</v>
      </c>
      <c r="B210" t="s">
        <v>228</v>
      </c>
      <c r="C210" s="2">
        <v>500</v>
      </c>
      <c r="D210" s="2">
        <v>50</v>
      </c>
      <c r="E210" s="3">
        <v>0.998</v>
      </c>
      <c r="F210" s="4">
        <v>775492.89</v>
      </c>
      <c r="G210" s="4">
        <v>775492.89</v>
      </c>
      <c r="H210" s="4">
        <v>775492.89000000095</v>
      </c>
      <c r="I210" s="4">
        <v>8.7568000000000007E-2</v>
      </c>
      <c r="J210" s="2">
        <v>10</v>
      </c>
      <c r="K210" s="4">
        <v>775492.89000000095</v>
      </c>
      <c r="L210" s="4">
        <v>775492.89000000095</v>
      </c>
      <c r="M210" s="4">
        <v>2.5033E-2</v>
      </c>
      <c r="N210" s="2">
        <v>10</v>
      </c>
      <c r="O210" s="4">
        <v>775492.89000000095</v>
      </c>
      <c r="P210" s="4">
        <v>775492.89</v>
      </c>
      <c r="Q210" s="4">
        <v>1.738E-2</v>
      </c>
      <c r="R210" s="2">
        <v>10</v>
      </c>
      <c r="S210" s="4">
        <v>775492.89</v>
      </c>
      <c r="T210" s="4">
        <v>775492.89</v>
      </c>
      <c r="U210">
        <v>325.98186299999998</v>
      </c>
      <c r="V210" s="2">
        <v>10</v>
      </c>
    </row>
    <row r="211" spans="1:22" x14ac:dyDescent="0.3">
      <c r="A211" t="s">
        <v>216</v>
      </c>
      <c r="B211" t="s">
        <v>229</v>
      </c>
      <c r="C211" s="2">
        <v>500</v>
      </c>
      <c r="D211" s="2">
        <v>50</v>
      </c>
      <c r="E211" s="3">
        <v>0.998</v>
      </c>
      <c r="F211" s="4">
        <v>780191.78</v>
      </c>
      <c r="G211" s="4">
        <v>780191.78000000096</v>
      </c>
      <c r="H211" s="4">
        <v>780191.78</v>
      </c>
      <c r="I211" s="4">
        <v>0.124988</v>
      </c>
      <c r="J211" s="2">
        <v>10</v>
      </c>
      <c r="K211" s="4">
        <v>780191.78000000096</v>
      </c>
      <c r="L211" s="4">
        <v>780191.78</v>
      </c>
      <c r="M211" s="4">
        <v>4.5059999999999996E-3</v>
      </c>
      <c r="N211" s="2">
        <v>10</v>
      </c>
      <c r="O211" s="4">
        <v>780191.78000000096</v>
      </c>
      <c r="P211" s="4">
        <v>780191.78000000096</v>
      </c>
      <c r="Q211" s="4">
        <v>3.261E-3</v>
      </c>
      <c r="R211" s="2">
        <v>10</v>
      </c>
      <c r="S211" s="4">
        <v>780191.78000000096</v>
      </c>
      <c r="T211" s="4">
        <v>780191.78000000096</v>
      </c>
      <c r="U211">
        <v>234.11349200000001</v>
      </c>
      <c r="V211" s="2">
        <v>10</v>
      </c>
    </row>
    <row r="212" spans="1:22" x14ac:dyDescent="0.3">
      <c r="A212" t="s">
        <v>216</v>
      </c>
      <c r="B212" t="s">
        <v>230</v>
      </c>
      <c r="C212" s="2">
        <v>500</v>
      </c>
      <c r="D212" s="2">
        <v>50</v>
      </c>
      <c r="E212" s="3">
        <v>0.998</v>
      </c>
      <c r="F212" s="4">
        <v>782232.68</v>
      </c>
      <c r="G212" s="4">
        <v>782232.68</v>
      </c>
      <c r="H212" s="4">
        <v>782232.68</v>
      </c>
      <c r="I212" s="4">
        <v>0.35785699999999998</v>
      </c>
      <c r="J212" s="2">
        <v>10</v>
      </c>
      <c r="K212" s="4">
        <v>782232.68</v>
      </c>
      <c r="L212" s="4">
        <v>782232.68</v>
      </c>
      <c r="M212" s="4">
        <v>8.0129999999999993E-3</v>
      </c>
      <c r="N212" s="2">
        <v>10</v>
      </c>
      <c r="O212" s="4">
        <v>782232.68</v>
      </c>
      <c r="P212" s="4">
        <v>782232.679999999</v>
      </c>
      <c r="Q212" s="4">
        <v>6.4349999999999997E-3</v>
      </c>
      <c r="R212" s="2">
        <v>10</v>
      </c>
      <c r="S212" s="4">
        <v>782232.679999999</v>
      </c>
      <c r="T212" s="4">
        <v>782232.679999999</v>
      </c>
      <c r="U212">
        <v>256.06909100000001</v>
      </c>
      <c r="V212" s="2">
        <v>10</v>
      </c>
    </row>
    <row r="213" spans="1:22" x14ac:dyDescent="0.3">
      <c r="A213" t="s">
        <v>216</v>
      </c>
      <c r="B213" t="s">
        <v>231</v>
      </c>
      <c r="C213" s="2">
        <v>500</v>
      </c>
      <c r="D213" s="2">
        <v>50</v>
      </c>
      <c r="E213" s="3">
        <v>0.998</v>
      </c>
      <c r="F213" s="4">
        <v>780300.33</v>
      </c>
      <c r="G213" s="4">
        <v>780300.33</v>
      </c>
      <c r="H213" s="4">
        <v>780300.32999999903</v>
      </c>
      <c r="I213" s="4">
        <v>3.9829000000000003E-2</v>
      </c>
      <c r="J213" s="2">
        <v>10</v>
      </c>
      <c r="K213" s="4">
        <v>780300.33</v>
      </c>
      <c r="L213" s="4">
        <v>780300.33</v>
      </c>
      <c r="M213" s="4">
        <v>6.888E-3</v>
      </c>
      <c r="N213" s="2">
        <v>10</v>
      </c>
      <c r="O213" s="4">
        <v>780300.33</v>
      </c>
      <c r="P213" s="4">
        <v>780300.33</v>
      </c>
      <c r="Q213" s="4">
        <v>5.3030000000000004E-3</v>
      </c>
      <c r="R213" s="2">
        <v>10</v>
      </c>
      <c r="S213" s="4">
        <v>780300.33</v>
      </c>
      <c r="T213" s="4">
        <v>780300.33</v>
      </c>
      <c r="U213">
        <v>316.96235899999999</v>
      </c>
      <c r="V213" s="2">
        <v>10</v>
      </c>
    </row>
    <row r="214" spans="1:22" x14ac:dyDescent="0.3">
      <c r="A214" t="s">
        <v>216</v>
      </c>
      <c r="B214" t="s">
        <v>232</v>
      </c>
      <c r="C214" s="2">
        <v>500</v>
      </c>
      <c r="D214" s="2">
        <v>50</v>
      </c>
      <c r="E214" s="3">
        <v>0.99797599999999997</v>
      </c>
      <c r="F214" s="4">
        <v>775436.19</v>
      </c>
      <c r="G214" s="4">
        <v>775436.19</v>
      </c>
      <c r="H214" s="4">
        <v>775436.19</v>
      </c>
      <c r="I214" s="4">
        <v>2.7673E-2</v>
      </c>
      <c r="J214" s="2">
        <v>10</v>
      </c>
      <c r="K214" s="4">
        <v>775436.19</v>
      </c>
      <c r="L214" s="4">
        <v>775436.19</v>
      </c>
      <c r="M214" s="4">
        <v>1.3622E-2</v>
      </c>
      <c r="N214" s="2">
        <v>10</v>
      </c>
      <c r="O214" s="4">
        <v>775436.19000000204</v>
      </c>
      <c r="P214" s="4">
        <v>775436.19</v>
      </c>
      <c r="Q214" s="4">
        <v>1.3554999999999999E-2</v>
      </c>
      <c r="R214" s="2">
        <v>10</v>
      </c>
      <c r="S214" s="4">
        <v>775436.19</v>
      </c>
      <c r="T214" s="4">
        <v>775436.19</v>
      </c>
      <c r="U214">
        <v>373.04797300000001</v>
      </c>
      <c r="V214" s="2">
        <v>10</v>
      </c>
    </row>
    <row r="215" spans="1:22" x14ac:dyDescent="0.3">
      <c r="A215" t="s">
        <v>216</v>
      </c>
      <c r="B215" t="s">
        <v>233</v>
      </c>
      <c r="C215" s="2">
        <v>500</v>
      </c>
      <c r="D215" s="2">
        <v>50</v>
      </c>
      <c r="E215" s="3">
        <v>0.998</v>
      </c>
      <c r="F215" s="4">
        <v>776618.99</v>
      </c>
      <c r="G215" s="4">
        <v>776618.99</v>
      </c>
      <c r="H215" s="4">
        <v>776618.99</v>
      </c>
      <c r="I215" s="4">
        <v>0.67960900000000002</v>
      </c>
      <c r="J215" s="2">
        <v>10</v>
      </c>
      <c r="K215" s="4">
        <v>776618.98999999801</v>
      </c>
      <c r="L215" s="4">
        <v>776618.99000000104</v>
      </c>
      <c r="M215" s="4">
        <v>4.5591E-2</v>
      </c>
      <c r="N215" s="2">
        <v>10</v>
      </c>
      <c r="O215" s="4">
        <v>776618.98999999801</v>
      </c>
      <c r="P215" s="4">
        <v>776618.99</v>
      </c>
      <c r="Q215" s="4">
        <v>2.5939E-2</v>
      </c>
      <c r="R215" s="2">
        <v>10</v>
      </c>
      <c r="S215" s="4">
        <v>776618.99</v>
      </c>
      <c r="T215" s="4">
        <v>776618.99</v>
      </c>
      <c r="U215">
        <v>250.68672000000001</v>
      </c>
      <c r="V215" s="2">
        <v>10</v>
      </c>
    </row>
    <row r="216" spans="1:22" x14ac:dyDescent="0.3">
      <c r="A216" t="s">
        <v>216</v>
      </c>
      <c r="B216" t="s">
        <v>234</v>
      </c>
      <c r="C216" s="2">
        <v>500</v>
      </c>
      <c r="D216" s="2">
        <v>50</v>
      </c>
      <c r="E216" s="3">
        <v>0.99798399999999998</v>
      </c>
      <c r="F216" s="4">
        <v>775850.64</v>
      </c>
      <c r="G216" s="4">
        <v>775850.64</v>
      </c>
      <c r="H216" s="4">
        <v>775850.64</v>
      </c>
      <c r="I216" s="4">
        <v>0.388461</v>
      </c>
      <c r="J216" s="2">
        <v>10</v>
      </c>
      <c r="K216" s="4">
        <v>775850.64</v>
      </c>
      <c r="L216" s="4">
        <v>775850.64000000095</v>
      </c>
      <c r="M216" s="4">
        <v>6.9045999999999996E-2</v>
      </c>
      <c r="N216" s="2">
        <v>10</v>
      </c>
      <c r="O216" s="4">
        <v>775850.64</v>
      </c>
      <c r="P216" s="4">
        <v>775850.64</v>
      </c>
      <c r="Q216" s="4">
        <v>2.6504E-2</v>
      </c>
      <c r="R216" s="2">
        <v>10</v>
      </c>
      <c r="S216" s="4">
        <v>775850.64</v>
      </c>
      <c r="T216" s="4">
        <v>775850.64</v>
      </c>
      <c r="U216">
        <v>269.928247</v>
      </c>
      <c r="V216" s="2">
        <v>10</v>
      </c>
    </row>
    <row r="217" spans="1:22" x14ac:dyDescent="0.3">
      <c r="A217" t="s">
        <v>216</v>
      </c>
      <c r="B217" t="s">
        <v>235</v>
      </c>
      <c r="C217" s="2">
        <v>500</v>
      </c>
      <c r="D217" s="2">
        <v>50</v>
      </c>
      <c r="E217" s="3">
        <v>0.99799199999999999</v>
      </c>
      <c r="F217" s="4">
        <v>778802.82</v>
      </c>
      <c r="G217" s="4">
        <v>778802.820000001</v>
      </c>
      <c r="H217" s="4">
        <v>778802.82</v>
      </c>
      <c r="I217" s="4">
        <v>0.21968099999999999</v>
      </c>
      <c r="J217" s="2">
        <v>10</v>
      </c>
      <c r="K217" s="4">
        <v>778802.81999999902</v>
      </c>
      <c r="L217" s="4">
        <v>778802.82</v>
      </c>
      <c r="M217" s="4">
        <v>2.4369999999999999E-2</v>
      </c>
      <c r="N217" s="2">
        <v>10</v>
      </c>
      <c r="O217" s="4">
        <v>778802.820000001</v>
      </c>
      <c r="P217" s="4">
        <v>778802.82</v>
      </c>
      <c r="Q217" s="4">
        <v>1.5350000000000001E-2</v>
      </c>
      <c r="R217" s="2">
        <v>10</v>
      </c>
      <c r="S217" s="4">
        <v>778802.82</v>
      </c>
      <c r="T217" s="4">
        <v>778802.82</v>
      </c>
      <c r="U217">
        <v>337.459834</v>
      </c>
      <c r="V217" s="2">
        <v>10</v>
      </c>
    </row>
    <row r="218" spans="1:22" x14ac:dyDescent="0.3">
      <c r="A218" t="s">
        <v>216</v>
      </c>
      <c r="B218" t="s">
        <v>236</v>
      </c>
      <c r="C218" s="2">
        <v>500</v>
      </c>
      <c r="D218" s="2">
        <v>50</v>
      </c>
      <c r="E218" s="3">
        <v>0.99796800000000008</v>
      </c>
      <c r="F218" s="4">
        <v>778644.65</v>
      </c>
      <c r="G218" s="4">
        <v>778644.64999999898</v>
      </c>
      <c r="H218" s="4">
        <v>778644.65</v>
      </c>
      <c r="I218" s="4">
        <v>0.217588</v>
      </c>
      <c r="J218" s="2">
        <v>10</v>
      </c>
      <c r="K218" s="4">
        <v>778644.65000000095</v>
      </c>
      <c r="L218" s="4">
        <v>778644.65</v>
      </c>
      <c r="M218" s="4">
        <v>2.5430999999999999E-2</v>
      </c>
      <c r="N218" s="2">
        <v>10</v>
      </c>
      <c r="O218" s="4">
        <v>778644.65000000095</v>
      </c>
      <c r="P218" s="4">
        <v>778644.65</v>
      </c>
      <c r="Q218" s="4">
        <v>1.5582E-2</v>
      </c>
      <c r="R218" s="2">
        <v>10</v>
      </c>
      <c r="S218" s="4">
        <v>778644.65</v>
      </c>
      <c r="T218" s="4">
        <v>778644.65</v>
      </c>
      <c r="U218">
        <v>303.72535399999998</v>
      </c>
      <c r="V218" s="2">
        <v>10</v>
      </c>
    </row>
    <row r="219" spans="1:22" x14ac:dyDescent="0.3">
      <c r="A219" s="7" t="s">
        <v>368</v>
      </c>
      <c r="B219" s="7"/>
      <c r="C219" s="8"/>
      <c r="D219" s="8"/>
      <c r="E219" s="9"/>
      <c r="F219" s="10"/>
      <c r="G219" s="10"/>
      <c r="H219" s="10"/>
      <c r="I219" s="10">
        <f>AVERAGE(I199:I218)</f>
        <v>0.26129845000000002</v>
      </c>
      <c r="J219" s="8">
        <f>SUM(J199:J218)</f>
        <v>200</v>
      </c>
      <c r="K219" s="10"/>
      <c r="L219" s="10"/>
      <c r="M219" s="10">
        <f>AVERAGE(M199:M218)</f>
        <v>2.5361000000000002E-2</v>
      </c>
      <c r="N219" s="8">
        <f>SUM(N199:N218)</f>
        <v>200</v>
      </c>
      <c r="O219" s="10"/>
      <c r="P219" s="10"/>
      <c r="Q219" s="10">
        <f>AVERAGE(Q199:Q218)</f>
        <v>1.7372699999999998E-2</v>
      </c>
      <c r="R219" s="8">
        <f>SUM(R199:R218)</f>
        <v>200</v>
      </c>
      <c r="S219" s="8"/>
      <c r="T219" s="8"/>
      <c r="U219" s="10">
        <f>AVERAGE(U199:U218)</f>
        <v>293.14125834999993</v>
      </c>
      <c r="V219" s="8">
        <f>SUM(V199:V218)</f>
        <v>200</v>
      </c>
    </row>
    <row r="220" spans="1:22" x14ac:dyDescent="0.3">
      <c r="A220" t="s">
        <v>237</v>
      </c>
      <c r="B220" t="s">
        <v>238</v>
      </c>
      <c r="C220" s="2">
        <v>3000</v>
      </c>
      <c r="D220" s="2">
        <v>300</v>
      </c>
      <c r="E220" s="3">
        <v>0.99868200000000007</v>
      </c>
      <c r="F220" s="4">
        <v>24926344</v>
      </c>
      <c r="G220" s="4">
        <v>24926344</v>
      </c>
      <c r="H220" s="4">
        <v>24925080.699999999</v>
      </c>
      <c r="I220" s="4">
        <v>334.83742100000001</v>
      </c>
      <c r="J220" s="2">
        <v>4</v>
      </c>
      <c r="K220" s="4">
        <v>24926344</v>
      </c>
      <c r="L220" s="4">
        <v>24926344</v>
      </c>
      <c r="M220" s="4">
        <v>157.19862499999999</v>
      </c>
      <c r="N220" s="2">
        <v>10</v>
      </c>
      <c r="O220" s="4">
        <v>24926344</v>
      </c>
      <c r="P220" s="4">
        <v>24926344</v>
      </c>
      <c r="Q220" s="4">
        <v>58.867998999999998</v>
      </c>
      <c r="R220" s="2">
        <v>10</v>
      </c>
      <c r="S220" s="2">
        <v>24926344</v>
      </c>
      <c r="T220" s="5">
        <v>24926178.100000001</v>
      </c>
      <c r="U220">
        <v>131.474166</v>
      </c>
      <c r="V220" s="2">
        <v>9</v>
      </c>
    </row>
    <row r="221" spans="1:22" x14ac:dyDescent="0.3">
      <c r="A221" t="s">
        <v>237</v>
      </c>
      <c r="B221" t="s">
        <v>239</v>
      </c>
      <c r="C221" s="2">
        <v>3000</v>
      </c>
      <c r="D221" s="2">
        <v>300</v>
      </c>
      <c r="E221" s="3">
        <v>0.9986831100000001</v>
      </c>
      <c r="F221" s="4">
        <v>24912546</v>
      </c>
      <c r="G221" s="4">
        <v>24912546</v>
      </c>
      <c r="H221" s="4">
        <v>24909740.399999999</v>
      </c>
      <c r="I221" s="4">
        <v>451.132812</v>
      </c>
      <c r="J221" s="2">
        <v>2</v>
      </c>
      <c r="K221" s="4">
        <v>24912546</v>
      </c>
      <c r="L221" s="4">
        <v>24912211.300000001</v>
      </c>
      <c r="M221" s="4">
        <v>251.76744600000001</v>
      </c>
      <c r="N221" s="2">
        <v>9</v>
      </c>
      <c r="O221" s="4">
        <v>24912546</v>
      </c>
      <c r="P221" s="4">
        <v>24912533.600000001</v>
      </c>
      <c r="Q221" s="4">
        <v>167.64583999999999</v>
      </c>
      <c r="R221" s="2">
        <v>9</v>
      </c>
      <c r="S221" s="2">
        <v>24912546</v>
      </c>
      <c r="T221" s="5">
        <v>24912546</v>
      </c>
      <c r="U221">
        <v>107.672172</v>
      </c>
      <c r="V221" s="2">
        <v>10</v>
      </c>
    </row>
    <row r="222" spans="1:22" x14ac:dyDescent="0.3">
      <c r="A222" t="s">
        <v>237</v>
      </c>
      <c r="B222" t="s">
        <v>240</v>
      </c>
      <c r="C222" s="2">
        <v>3000</v>
      </c>
      <c r="D222" s="2">
        <v>300</v>
      </c>
      <c r="E222" s="3">
        <v>0.99870311000000001</v>
      </c>
      <c r="F222" s="4">
        <v>24905218</v>
      </c>
      <c r="G222" s="4">
        <v>24905218</v>
      </c>
      <c r="H222" s="4">
        <v>24899251.800000001</v>
      </c>
      <c r="I222" s="4">
        <v>282.44659999999999</v>
      </c>
      <c r="J222" s="2">
        <v>3</v>
      </c>
      <c r="K222" s="4">
        <v>24905218</v>
      </c>
      <c r="L222" s="4">
        <v>24905218</v>
      </c>
      <c r="M222" s="4">
        <v>118.618539</v>
      </c>
      <c r="N222" s="2">
        <v>10</v>
      </c>
      <c r="O222" s="4">
        <v>24905218</v>
      </c>
      <c r="P222" s="4">
        <v>24905218</v>
      </c>
      <c r="Q222" s="4">
        <v>64.988139000000004</v>
      </c>
      <c r="R222" s="2">
        <v>10</v>
      </c>
      <c r="S222" s="2">
        <v>24905218</v>
      </c>
      <c r="T222" s="5">
        <v>24904032.300000001</v>
      </c>
      <c r="U222">
        <v>179.001803</v>
      </c>
      <c r="V222" s="2">
        <v>8</v>
      </c>
    </row>
    <row r="223" spans="1:22" x14ac:dyDescent="0.3">
      <c r="A223" t="s">
        <v>237</v>
      </c>
      <c r="B223" t="s">
        <v>241</v>
      </c>
      <c r="C223" s="2">
        <v>3000</v>
      </c>
      <c r="D223" s="2">
        <v>300</v>
      </c>
      <c r="E223" s="3">
        <v>0.99867711000000003</v>
      </c>
      <c r="F223" s="4">
        <v>24909710</v>
      </c>
      <c r="G223" s="4">
        <v>24909710</v>
      </c>
      <c r="H223" s="4">
        <v>24907850.800000001</v>
      </c>
      <c r="I223" s="4">
        <v>315.48354899999998</v>
      </c>
      <c r="J223" s="2">
        <v>5</v>
      </c>
      <c r="K223" s="4">
        <v>24909710</v>
      </c>
      <c r="L223" s="4">
        <v>24909710</v>
      </c>
      <c r="M223" s="4">
        <v>91.676128000000006</v>
      </c>
      <c r="N223" s="2">
        <v>10</v>
      </c>
      <c r="O223" s="4">
        <v>24909710</v>
      </c>
      <c r="P223" s="4">
        <v>24909710</v>
      </c>
      <c r="Q223" s="4">
        <v>40.445942000000002</v>
      </c>
      <c r="R223" s="2">
        <v>10</v>
      </c>
      <c r="S223" s="2">
        <v>24909710</v>
      </c>
      <c r="T223" s="5">
        <v>24908881.199999999</v>
      </c>
      <c r="U223">
        <v>135.23025999999999</v>
      </c>
      <c r="V223" s="2">
        <v>8</v>
      </c>
    </row>
    <row r="224" spans="1:22" x14ac:dyDescent="0.3">
      <c r="A224" t="s">
        <v>237</v>
      </c>
      <c r="B224" t="s">
        <v>242</v>
      </c>
      <c r="C224" s="2">
        <v>3000</v>
      </c>
      <c r="D224" s="2">
        <v>300</v>
      </c>
      <c r="E224" s="3">
        <v>0.99868510999999993</v>
      </c>
      <c r="F224" s="4">
        <v>24899703</v>
      </c>
      <c r="G224" s="4">
        <v>24895704</v>
      </c>
      <c r="H224" s="4">
        <v>24894910.800000001</v>
      </c>
      <c r="I224" t="s">
        <v>25</v>
      </c>
      <c r="J224" s="2">
        <v>0</v>
      </c>
      <c r="K224" s="4">
        <v>24895704</v>
      </c>
      <c r="L224" s="4">
        <v>24895664.699999999</v>
      </c>
      <c r="M224" t="s">
        <v>25</v>
      </c>
      <c r="N224" s="2">
        <v>0</v>
      </c>
      <c r="O224" s="4">
        <v>24895704</v>
      </c>
      <c r="P224" s="4">
        <v>24895664.699999999</v>
      </c>
      <c r="Q224" t="s">
        <v>25</v>
      </c>
      <c r="R224" s="2">
        <v>0</v>
      </c>
      <c r="S224" s="2">
        <v>24895704</v>
      </c>
      <c r="T224" s="5">
        <v>24895704</v>
      </c>
      <c r="U224" t="s">
        <v>25</v>
      </c>
      <c r="V224" s="2">
        <v>0</v>
      </c>
    </row>
    <row r="225" spans="1:22" x14ac:dyDescent="0.3">
      <c r="A225" t="s">
        <v>237</v>
      </c>
      <c r="B225" t="s">
        <v>243</v>
      </c>
      <c r="C225" s="2">
        <v>3000</v>
      </c>
      <c r="D225" s="2">
        <v>400</v>
      </c>
      <c r="E225" s="3">
        <v>0.998672</v>
      </c>
      <c r="F225" s="4">
        <v>43465087</v>
      </c>
      <c r="G225" s="4">
        <v>43444948</v>
      </c>
      <c r="H225" s="4">
        <v>43443497.899999999</v>
      </c>
      <c r="I225" t="s">
        <v>25</v>
      </c>
      <c r="J225" s="2">
        <v>0</v>
      </c>
      <c r="K225" s="4">
        <v>43444948</v>
      </c>
      <c r="L225" s="4">
        <v>43444948</v>
      </c>
      <c r="M225" t="s">
        <v>25</v>
      </c>
      <c r="N225" s="2">
        <v>0</v>
      </c>
      <c r="O225" s="4">
        <v>43444948</v>
      </c>
      <c r="P225" s="4">
        <v>43444948</v>
      </c>
      <c r="Q225" t="s">
        <v>25</v>
      </c>
      <c r="R225" s="2">
        <v>0</v>
      </c>
      <c r="S225" s="2">
        <v>43444948</v>
      </c>
      <c r="T225" s="5">
        <v>43444878.299999997</v>
      </c>
      <c r="U225" t="s">
        <v>25</v>
      </c>
      <c r="V225" s="2">
        <v>0</v>
      </c>
    </row>
    <row r="226" spans="1:22" x14ac:dyDescent="0.3">
      <c r="A226" t="s">
        <v>237</v>
      </c>
      <c r="B226" t="s">
        <v>244</v>
      </c>
      <c r="C226" s="2">
        <v>3000</v>
      </c>
      <c r="D226" s="2">
        <v>400</v>
      </c>
      <c r="E226" s="3">
        <v>0.99869467000000001</v>
      </c>
      <c r="F226" s="4">
        <v>43477267</v>
      </c>
      <c r="G226" s="4">
        <v>43477267</v>
      </c>
      <c r="H226" s="4">
        <v>43477250.200000003</v>
      </c>
      <c r="I226" s="4">
        <v>195.14900499999999</v>
      </c>
      <c r="J226" s="2">
        <v>9</v>
      </c>
      <c r="K226" s="4">
        <v>43477267</v>
      </c>
      <c r="L226" s="4">
        <v>43477267</v>
      </c>
      <c r="M226" s="4">
        <v>42.013905999999999</v>
      </c>
      <c r="N226" s="2">
        <v>10</v>
      </c>
      <c r="O226" s="4">
        <v>43477267</v>
      </c>
      <c r="P226" s="4">
        <v>43477267</v>
      </c>
      <c r="Q226" s="4">
        <v>15.721036</v>
      </c>
      <c r="R226" s="2">
        <v>10</v>
      </c>
      <c r="S226" s="2">
        <v>43477267</v>
      </c>
      <c r="T226" s="5">
        <v>43477267</v>
      </c>
      <c r="U226">
        <v>54.323984000000003</v>
      </c>
      <c r="V226" s="2">
        <v>10</v>
      </c>
    </row>
    <row r="227" spans="1:22" x14ac:dyDescent="0.3">
      <c r="A227" t="s">
        <v>237</v>
      </c>
      <c r="B227" t="s">
        <v>245</v>
      </c>
      <c r="C227" s="2">
        <v>3000</v>
      </c>
      <c r="D227" s="2">
        <v>400</v>
      </c>
      <c r="E227" s="3">
        <v>0.99867822000000006</v>
      </c>
      <c r="F227" s="4">
        <v>43465572</v>
      </c>
      <c r="G227" s="4">
        <v>43465572</v>
      </c>
      <c r="H227" s="4">
        <v>43463872.200000003</v>
      </c>
      <c r="I227" s="4">
        <v>198.14573999999999</v>
      </c>
      <c r="J227" s="2">
        <v>4</v>
      </c>
      <c r="K227" s="4">
        <v>43465572</v>
      </c>
      <c r="L227" s="4">
        <v>43464672.899999999</v>
      </c>
      <c r="M227" s="4">
        <v>149.712503</v>
      </c>
      <c r="N227" s="2">
        <v>7</v>
      </c>
      <c r="O227" s="4">
        <v>43465572</v>
      </c>
      <c r="P227" s="4">
        <v>43465572</v>
      </c>
      <c r="Q227" s="4">
        <v>88.804011000000003</v>
      </c>
      <c r="R227" s="2">
        <v>10</v>
      </c>
      <c r="S227" s="2">
        <v>43465572</v>
      </c>
      <c r="T227" s="5">
        <v>43465572</v>
      </c>
      <c r="U227">
        <v>188.38130699999999</v>
      </c>
      <c r="V227" s="2">
        <v>10</v>
      </c>
    </row>
    <row r="228" spans="1:22" x14ac:dyDescent="0.3">
      <c r="A228" t="s">
        <v>237</v>
      </c>
      <c r="B228" t="s">
        <v>246</v>
      </c>
      <c r="C228" s="2">
        <v>3000</v>
      </c>
      <c r="D228" s="2">
        <v>400</v>
      </c>
      <c r="E228" s="3">
        <v>0.99867600000000001</v>
      </c>
      <c r="F228" s="4">
        <v>43448137</v>
      </c>
      <c r="G228" s="4">
        <v>43448137</v>
      </c>
      <c r="H228" s="4">
        <v>43447947.399999999</v>
      </c>
      <c r="I228" s="4">
        <v>52.609167999999997</v>
      </c>
      <c r="J228" s="2">
        <v>2</v>
      </c>
      <c r="K228" s="4">
        <v>43448137</v>
      </c>
      <c r="L228" s="4">
        <v>43447923.700000003</v>
      </c>
      <c r="M228" s="4">
        <v>13.179245999999999</v>
      </c>
      <c r="N228" s="2">
        <v>1</v>
      </c>
      <c r="O228" s="4">
        <v>43448137</v>
      </c>
      <c r="P228" s="4">
        <v>43448113.299999997</v>
      </c>
      <c r="Q228" s="4">
        <v>326.40916099999998</v>
      </c>
      <c r="R228" s="2">
        <v>9</v>
      </c>
      <c r="S228" s="2">
        <v>43448137</v>
      </c>
      <c r="T228" s="5">
        <v>43448137</v>
      </c>
      <c r="U228">
        <v>117.899259</v>
      </c>
      <c r="V228" s="2">
        <v>10</v>
      </c>
    </row>
    <row r="229" spans="1:22" x14ac:dyDescent="0.3">
      <c r="A229" t="s">
        <v>237</v>
      </c>
      <c r="B229" t="s">
        <v>247</v>
      </c>
      <c r="C229" s="2">
        <v>3000</v>
      </c>
      <c r="D229" s="2">
        <v>400</v>
      </c>
      <c r="E229" s="3">
        <v>0.99868155999999997</v>
      </c>
      <c r="F229" s="4">
        <v>43476251</v>
      </c>
      <c r="G229" s="4">
        <v>43465561</v>
      </c>
      <c r="H229" s="4">
        <v>43465561</v>
      </c>
      <c r="I229" t="s">
        <v>25</v>
      </c>
      <c r="J229" s="2">
        <v>0</v>
      </c>
      <c r="K229" s="4">
        <v>43465561</v>
      </c>
      <c r="L229" s="4">
        <v>43465561</v>
      </c>
      <c r="M229" t="s">
        <v>25</v>
      </c>
      <c r="N229" s="2">
        <v>0</v>
      </c>
      <c r="O229" s="4">
        <v>43465561</v>
      </c>
      <c r="P229" s="4">
        <v>43465561</v>
      </c>
      <c r="Q229" t="s">
        <v>25</v>
      </c>
      <c r="R229" s="2">
        <v>0</v>
      </c>
      <c r="S229" s="2">
        <v>43465561</v>
      </c>
      <c r="T229" s="5">
        <v>43465561</v>
      </c>
      <c r="U229" t="s">
        <v>25</v>
      </c>
      <c r="V229">
        <v>0</v>
      </c>
    </row>
    <row r="230" spans="1:22" x14ac:dyDescent="0.3">
      <c r="A230" t="s">
        <v>237</v>
      </c>
      <c r="B230" t="s">
        <v>248</v>
      </c>
      <c r="C230" s="2">
        <v>3000</v>
      </c>
      <c r="D230" s="2">
        <v>500</v>
      </c>
      <c r="E230" s="3">
        <v>0.99868266999999999</v>
      </c>
      <c r="F230" s="4">
        <v>67021132</v>
      </c>
      <c r="G230" s="4">
        <v>67021132</v>
      </c>
      <c r="H230" s="4">
        <v>67019719.799999997</v>
      </c>
      <c r="I230" s="4">
        <v>379.31073300000003</v>
      </c>
      <c r="J230" s="2">
        <v>2</v>
      </c>
      <c r="K230" s="4">
        <v>67021132</v>
      </c>
      <c r="L230" s="4">
        <v>67021126.700000003</v>
      </c>
      <c r="M230" s="4">
        <v>133.67648700000001</v>
      </c>
      <c r="N230" s="2">
        <v>9</v>
      </c>
      <c r="O230" s="4">
        <v>67021132</v>
      </c>
      <c r="P230" s="4">
        <v>67021132</v>
      </c>
      <c r="Q230" s="4">
        <v>90.411643999999995</v>
      </c>
      <c r="R230" s="2">
        <v>10</v>
      </c>
      <c r="S230" s="2">
        <v>67021132</v>
      </c>
      <c r="T230" s="5">
        <v>67021132</v>
      </c>
      <c r="U230">
        <v>69.771403000000007</v>
      </c>
      <c r="V230">
        <v>10</v>
      </c>
    </row>
    <row r="231" spans="1:22" x14ac:dyDescent="0.3">
      <c r="A231" t="s">
        <v>237</v>
      </c>
      <c r="B231" t="s">
        <v>249</v>
      </c>
      <c r="C231" s="2">
        <v>3000</v>
      </c>
      <c r="D231" s="2">
        <v>500</v>
      </c>
      <c r="E231" s="3">
        <v>0.99869089</v>
      </c>
      <c r="F231" s="4">
        <v>67021888</v>
      </c>
      <c r="G231" s="4">
        <v>67014170</v>
      </c>
      <c r="H231" s="4">
        <v>67014105.200000003</v>
      </c>
      <c r="I231" t="s">
        <v>25</v>
      </c>
      <c r="J231" s="2">
        <v>0</v>
      </c>
      <c r="K231" s="4">
        <v>67014170</v>
      </c>
      <c r="L231" s="4">
        <v>67014170</v>
      </c>
      <c r="M231" t="s">
        <v>25</v>
      </c>
      <c r="N231" s="2">
        <v>0</v>
      </c>
      <c r="O231" s="4">
        <v>67014170</v>
      </c>
      <c r="P231" s="4">
        <v>67014170</v>
      </c>
      <c r="Q231" t="s">
        <v>25</v>
      </c>
      <c r="R231" s="2">
        <v>0</v>
      </c>
      <c r="S231" s="2">
        <v>67014170</v>
      </c>
      <c r="T231" s="5">
        <v>67011499.899999999</v>
      </c>
      <c r="U231" t="s">
        <v>25</v>
      </c>
      <c r="V231">
        <v>0</v>
      </c>
    </row>
    <row r="232" spans="1:22" x14ac:dyDescent="0.3">
      <c r="A232" t="s">
        <v>237</v>
      </c>
      <c r="B232" t="s">
        <v>250</v>
      </c>
      <c r="C232" s="2">
        <v>3000</v>
      </c>
      <c r="D232" s="2">
        <v>500</v>
      </c>
      <c r="E232" s="3">
        <v>0.99866978000000006</v>
      </c>
      <c r="F232" s="4">
        <v>67024373</v>
      </c>
      <c r="G232" s="4">
        <v>67024373</v>
      </c>
      <c r="H232" s="4">
        <v>67024368.100000001</v>
      </c>
      <c r="I232" s="4">
        <v>225.84484699999999</v>
      </c>
      <c r="J232" s="2">
        <v>9</v>
      </c>
      <c r="K232" s="4">
        <v>67024373</v>
      </c>
      <c r="L232" s="4">
        <v>67024373</v>
      </c>
      <c r="M232" s="4">
        <v>53.150761000000003</v>
      </c>
      <c r="N232" s="2">
        <v>10</v>
      </c>
      <c r="O232" s="4">
        <v>67024373</v>
      </c>
      <c r="P232" s="4">
        <v>67024373</v>
      </c>
      <c r="Q232" s="4">
        <v>24.701664999999998</v>
      </c>
      <c r="R232" s="2">
        <v>10</v>
      </c>
      <c r="S232" s="2">
        <v>67024373</v>
      </c>
      <c r="T232" s="5">
        <v>67023115.799999997</v>
      </c>
      <c r="U232">
        <v>142.975944</v>
      </c>
      <c r="V232">
        <v>8</v>
      </c>
    </row>
    <row r="233" spans="1:22" x14ac:dyDescent="0.3">
      <c r="A233" t="s">
        <v>237</v>
      </c>
      <c r="B233" t="s">
        <v>251</v>
      </c>
      <c r="C233" s="2">
        <v>3000</v>
      </c>
      <c r="D233" s="2">
        <v>500</v>
      </c>
      <c r="E233" s="3">
        <v>0.9986924399999999</v>
      </c>
      <c r="F233" s="4">
        <v>67030190</v>
      </c>
      <c r="G233" s="4">
        <v>67030190</v>
      </c>
      <c r="H233" s="4">
        <v>67030190</v>
      </c>
      <c r="I233" s="4">
        <v>340.18012099999999</v>
      </c>
      <c r="J233" s="2">
        <v>10</v>
      </c>
      <c r="K233" s="4">
        <v>67030190</v>
      </c>
      <c r="L233" s="4">
        <v>67030190</v>
      </c>
      <c r="M233" s="4">
        <v>62.533473000000001</v>
      </c>
      <c r="N233" s="2">
        <v>10</v>
      </c>
      <c r="O233" s="4">
        <v>67030190</v>
      </c>
      <c r="P233" s="4">
        <v>67030190</v>
      </c>
      <c r="Q233" s="4">
        <v>27.514471</v>
      </c>
      <c r="R233" s="2">
        <v>10</v>
      </c>
      <c r="S233" s="2">
        <v>67030190</v>
      </c>
      <c r="T233" s="5">
        <v>67030190</v>
      </c>
      <c r="U233">
        <v>137.122411</v>
      </c>
      <c r="V233">
        <v>10</v>
      </c>
    </row>
    <row r="234" spans="1:22" x14ac:dyDescent="0.3">
      <c r="A234" t="s">
        <v>237</v>
      </c>
      <c r="B234" t="s">
        <v>252</v>
      </c>
      <c r="C234" s="2">
        <v>3000</v>
      </c>
      <c r="D234" s="2">
        <v>500</v>
      </c>
      <c r="E234" s="3">
        <v>0.99866221999999993</v>
      </c>
      <c r="F234" s="4">
        <v>67056334</v>
      </c>
      <c r="G234" s="4">
        <v>67056334</v>
      </c>
      <c r="H234" s="4">
        <v>67054910.100000001</v>
      </c>
      <c r="I234" s="4">
        <v>166.59080900000001</v>
      </c>
      <c r="J234" s="2">
        <v>3</v>
      </c>
      <c r="K234" s="4">
        <v>67056334</v>
      </c>
      <c r="L234" s="4">
        <v>67056334</v>
      </c>
      <c r="M234" s="4">
        <v>122.302986</v>
      </c>
      <c r="N234" s="2">
        <v>10</v>
      </c>
      <c r="O234" s="4">
        <v>67056334</v>
      </c>
      <c r="P234" s="4">
        <v>67056334</v>
      </c>
      <c r="Q234" s="4">
        <v>79.641022000000007</v>
      </c>
      <c r="R234" s="2">
        <v>10</v>
      </c>
      <c r="S234" s="2">
        <v>67056334</v>
      </c>
      <c r="T234" s="5">
        <v>67055499.799999997</v>
      </c>
      <c r="U234">
        <v>211.94958399999999</v>
      </c>
      <c r="V234">
        <v>7</v>
      </c>
    </row>
    <row r="235" spans="1:22" x14ac:dyDescent="0.3">
      <c r="A235" t="s">
        <v>237</v>
      </c>
      <c r="B235" t="s">
        <v>253</v>
      </c>
      <c r="C235" s="2">
        <v>3000</v>
      </c>
      <c r="D235" s="2">
        <v>600</v>
      </c>
      <c r="E235" s="3">
        <v>0.99866200000000005</v>
      </c>
      <c r="F235" s="4">
        <v>95638929</v>
      </c>
      <c r="G235" s="4">
        <v>95638929</v>
      </c>
      <c r="H235" s="4">
        <v>95638131.200000003</v>
      </c>
      <c r="I235" s="4">
        <v>167.96531400000001</v>
      </c>
      <c r="J235" s="2">
        <v>4</v>
      </c>
      <c r="K235" s="4">
        <v>95638929</v>
      </c>
      <c r="L235" s="4">
        <v>95638929</v>
      </c>
      <c r="M235" s="4">
        <v>104.174239</v>
      </c>
      <c r="N235" s="2">
        <v>10</v>
      </c>
      <c r="O235" s="4">
        <v>95638929</v>
      </c>
      <c r="P235" s="4">
        <v>95638929</v>
      </c>
      <c r="Q235" s="4">
        <v>51.050508000000001</v>
      </c>
      <c r="R235" s="2">
        <v>10</v>
      </c>
      <c r="S235" s="2">
        <v>95638929</v>
      </c>
      <c r="T235" s="5">
        <v>95638929</v>
      </c>
      <c r="U235">
        <v>38.091456999999998</v>
      </c>
      <c r="V235">
        <v>10</v>
      </c>
    </row>
    <row r="236" spans="1:22" x14ac:dyDescent="0.3">
      <c r="A236" t="s">
        <v>237</v>
      </c>
      <c r="B236" t="s">
        <v>254</v>
      </c>
      <c r="C236" s="2">
        <v>3000</v>
      </c>
      <c r="D236" s="2">
        <v>600</v>
      </c>
      <c r="E236" s="3">
        <v>0.99865778000000005</v>
      </c>
      <c r="F236" s="4">
        <v>95645826</v>
      </c>
      <c r="G236" s="4">
        <v>95571113</v>
      </c>
      <c r="H236" s="4">
        <v>95571001.099999994</v>
      </c>
      <c r="I236" t="s">
        <v>25</v>
      </c>
      <c r="J236" s="2">
        <v>0</v>
      </c>
      <c r="K236" s="4">
        <v>95571113</v>
      </c>
      <c r="L236" s="4">
        <v>95571113</v>
      </c>
      <c r="M236" t="s">
        <v>25</v>
      </c>
      <c r="N236" s="2">
        <v>0</v>
      </c>
      <c r="O236" s="4">
        <v>95571113</v>
      </c>
      <c r="P236" s="4">
        <v>95571113</v>
      </c>
      <c r="Q236" t="s">
        <v>25</v>
      </c>
      <c r="R236" s="2">
        <v>0</v>
      </c>
      <c r="S236" s="2">
        <v>95571113</v>
      </c>
      <c r="T236" s="5">
        <v>95571060.200000003</v>
      </c>
      <c r="U236" t="s">
        <v>25</v>
      </c>
      <c r="V236">
        <v>0</v>
      </c>
    </row>
    <row r="237" spans="1:22" x14ac:dyDescent="0.3">
      <c r="A237" t="s">
        <v>237</v>
      </c>
      <c r="B237" t="s">
        <v>255</v>
      </c>
      <c r="C237" s="2">
        <v>3000</v>
      </c>
      <c r="D237" s="2">
        <v>600</v>
      </c>
      <c r="E237" s="3">
        <v>0.99864733000000006</v>
      </c>
      <c r="F237" s="4">
        <v>95629207</v>
      </c>
      <c r="G237" s="4">
        <v>95532141</v>
      </c>
      <c r="H237" s="4">
        <v>95529972.099999994</v>
      </c>
      <c r="I237" t="s">
        <v>25</v>
      </c>
      <c r="J237" s="2">
        <v>0</v>
      </c>
      <c r="K237" s="4">
        <v>95532141</v>
      </c>
      <c r="L237" s="4">
        <v>95532141</v>
      </c>
      <c r="M237" t="s">
        <v>25</v>
      </c>
      <c r="N237" s="2">
        <v>0</v>
      </c>
      <c r="O237" s="4">
        <v>95532141</v>
      </c>
      <c r="P237" s="4">
        <v>95532141</v>
      </c>
      <c r="Q237" t="s">
        <v>25</v>
      </c>
      <c r="R237" s="2">
        <v>0</v>
      </c>
      <c r="S237" s="2">
        <v>95532141</v>
      </c>
      <c r="T237" s="5">
        <v>95531230.400000006</v>
      </c>
      <c r="U237" t="s">
        <v>25</v>
      </c>
      <c r="V237">
        <v>0</v>
      </c>
    </row>
    <row r="238" spans="1:22" x14ac:dyDescent="0.3">
      <c r="A238" t="s">
        <v>237</v>
      </c>
      <c r="B238" t="s">
        <v>256</v>
      </c>
      <c r="C238" s="2">
        <v>3000</v>
      </c>
      <c r="D238" s="2">
        <v>600</v>
      </c>
      <c r="E238" s="3">
        <v>0.99867644</v>
      </c>
      <c r="F238" s="4">
        <v>95633549</v>
      </c>
      <c r="G238" s="4">
        <v>95599164</v>
      </c>
      <c r="H238" s="4">
        <v>95599164</v>
      </c>
      <c r="I238" t="s">
        <v>25</v>
      </c>
      <c r="J238" s="2">
        <v>0</v>
      </c>
      <c r="K238" s="4">
        <v>95599164</v>
      </c>
      <c r="L238" s="4">
        <v>95599164</v>
      </c>
      <c r="M238" t="s">
        <v>25</v>
      </c>
      <c r="N238" s="2">
        <v>0</v>
      </c>
      <c r="O238" s="4">
        <v>95599164</v>
      </c>
      <c r="P238" s="4">
        <v>95599164</v>
      </c>
      <c r="Q238" t="s">
        <v>25</v>
      </c>
      <c r="R238" s="2">
        <v>0</v>
      </c>
      <c r="S238" s="2">
        <v>95599164</v>
      </c>
      <c r="T238" s="5">
        <v>95599089.400000006</v>
      </c>
      <c r="U238" t="s">
        <v>25</v>
      </c>
      <c r="V238">
        <v>0</v>
      </c>
    </row>
    <row r="239" spans="1:22" x14ac:dyDescent="0.3">
      <c r="A239" t="s">
        <v>237</v>
      </c>
      <c r="B239" t="s">
        <v>257</v>
      </c>
      <c r="C239" s="2">
        <v>3000</v>
      </c>
      <c r="D239" s="2">
        <v>600</v>
      </c>
      <c r="E239" s="3">
        <v>0.99867932999999998</v>
      </c>
      <c r="F239" s="4">
        <v>95643586</v>
      </c>
      <c r="G239" s="4">
        <v>95584482</v>
      </c>
      <c r="H239" s="4">
        <v>95584482</v>
      </c>
      <c r="I239" t="s">
        <v>25</v>
      </c>
      <c r="J239" s="2">
        <v>0</v>
      </c>
      <c r="K239" s="4">
        <v>95584482</v>
      </c>
      <c r="L239" s="4">
        <v>95584482</v>
      </c>
      <c r="M239" t="s">
        <v>25</v>
      </c>
      <c r="N239" s="2">
        <v>0</v>
      </c>
      <c r="O239" s="4">
        <v>95584482</v>
      </c>
      <c r="P239" s="4">
        <v>95584482</v>
      </c>
      <c r="Q239" t="s">
        <v>25</v>
      </c>
      <c r="R239" s="2">
        <v>0</v>
      </c>
      <c r="S239" s="2">
        <v>95584482</v>
      </c>
      <c r="T239" s="5">
        <v>95584482</v>
      </c>
      <c r="U239" t="s">
        <v>25</v>
      </c>
      <c r="V239">
        <v>0</v>
      </c>
    </row>
    <row r="240" spans="1:22" x14ac:dyDescent="0.3">
      <c r="A240" s="7" t="s">
        <v>369</v>
      </c>
      <c r="B240" s="7"/>
      <c r="C240" s="8"/>
      <c r="D240" s="8"/>
      <c r="E240" s="9"/>
      <c r="F240" s="10"/>
      <c r="G240" s="11">
        <f t="array" ref="G240">AVERAGE((F220:F239-G220:G239)/F220:F239)</f>
        <v>1.8793284520406264E-4</v>
      </c>
      <c r="H240" s="11">
        <f t="array" ref="H240">AVERAGE((F220:F239-H220:H239)/F220:F239)</f>
        <v>2.2103812848306203E-4</v>
      </c>
      <c r="I240" s="7"/>
      <c r="J240" s="8">
        <f>SUM(J220:J239)</f>
        <v>57</v>
      </c>
      <c r="K240" s="11">
        <f t="array" ref="K240">AVERAGE((F220:F239-K220:K239)/F220:F239)</f>
        <v>1.8793284520406264E-4</v>
      </c>
      <c r="L240" s="11">
        <f t="array" ref="L240">AVERAGE((F220:F239-L220:L239)/F220:F239)</f>
        <v>1.8996719758817993E-4</v>
      </c>
      <c r="M240" s="7"/>
      <c r="N240" s="8">
        <f>SUM(N220:N239)</f>
        <v>106</v>
      </c>
      <c r="O240" s="11">
        <f t="array" ref="O240">AVERAGE((F220:F239-O220:O239)/F220:F239)</f>
        <v>1.8793284520406264E-4</v>
      </c>
      <c r="P240" s="11">
        <f t="array" ref="P240">AVERAGE((F220:F239-P220:P239)/P220:P239)</f>
        <v>1.8818733478638875E-4</v>
      </c>
      <c r="Q240" s="7"/>
      <c r="R240" s="8">
        <f>SUM(R220:R239)</f>
        <v>118</v>
      </c>
      <c r="S240" s="11">
        <f t="array" ref="S240">AVERAGE((F220:F239-S220:S239)/F220:F239)</f>
        <v>1.8793284520406264E-4</v>
      </c>
      <c r="T240" s="11">
        <f t="array" ref="T240">AVERAGE((F220:F239-T220:T239)/F220:F239)</f>
        <v>1.9648439604238332E-4</v>
      </c>
      <c r="U240" s="7"/>
      <c r="V240" s="8">
        <f>SUM(V220:V239)</f>
        <v>110</v>
      </c>
    </row>
    <row r="241" spans="1:22" x14ac:dyDescent="0.3">
      <c r="A241" t="s">
        <v>370</v>
      </c>
      <c r="B241" t="s">
        <v>258</v>
      </c>
      <c r="C241" s="2">
        <v>3000</v>
      </c>
      <c r="D241" s="2">
        <v>1500</v>
      </c>
      <c r="E241" s="3">
        <v>0.10016111</v>
      </c>
      <c r="F241" s="4">
        <v>6502330</v>
      </c>
      <c r="G241" s="4">
        <v>6502330</v>
      </c>
      <c r="H241" s="4">
        <v>6502264.7999999998</v>
      </c>
      <c r="I241" s="4">
        <v>94.231328000000005</v>
      </c>
      <c r="J241" s="2">
        <v>2</v>
      </c>
      <c r="K241" s="4">
        <v>6502330</v>
      </c>
      <c r="L241" s="4">
        <v>6502322.5</v>
      </c>
      <c r="M241" s="4">
        <v>79.475487000000001</v>
      </c>
      <c r="N241" s="2">
        <v>9</v>
      </c>
      <c r="O241" s="4">
        <v>6502330</v>
      </c>
      <c r="P241" s="4">
        <v>6502330</v>
      </c>
      <c r="Q241" s="4">
        <v>137.289198</v>
      </c>
      <c r="R241" s="2">
        <v>10</v>
      </c>
      <c r="S241" s="2">
        <v>6502330</v>
      </c>
      <c r="T241" s="5">
        <v>6502330</v>
      </c>
      <c r="U241">
        <v>128.35128800000001</v>
      </c>
      <c r="V241">
        <v>10</v>
      </c>
    </row>
    <row r="242" spans="1:22" x14ac:dyDescent="0.3">
      <c r="A242" t="s">
        <v>370</v>
      </c>
      <c r="B242" t="s">
        <v>259</v>
      </c>
      <c r="C242" s="2">
        <v>3000</v>
      </c>
      <c r="D242" s="2">
        <v>1500</v>
      </c>
      <c r="E242" s="3">
        <v>0.29962422</v>
      </c>
      <c r="F242" s="4">
        <v>18272568</v>
      </c>
      <c r="G242" s="4">
        <v>18272568</v>
      </c>
      <c r="H242" s="4">
        <v>18272568</v>
      </c>
      <c r="I242" s="4">
        <v>127.28266000000001</v>
      </c>
      <c r="J242" s="2">
        <v>10</v>
      </c>
      <c r="K242" s="4">
        <v>18272568</v>
      </c>
      <c r="L242" s="4">
        <v>18272568</v>
      </c>
      <c r="M242" s="4">
        <v>7.5269909999999998</v>
      </c>
      <c r="N242" s="2">
        <v>10</v>
      </c>
      <c r="O242" s="4">
        <v>18272568</v>
      </c>
      <c r="P242" s="4">
        <v>18272568</v>
      </c>
      <c r="Q242" s="4">
        <v>7.9720969999999998</v>
      </c>
      <c r="R242" s="2">
        <v>10</v>
      </c>
      <c r="S242" s="2">
        <v>18272568</v>
      </c>
      <c r="T242" s="5">
        <v>18272568</v>
      </c>
      <c r="U242">
        <v>27.728532000000001</v>
      </c>
      <c r="V242">
        <v>10</v>
      </c>
    </row>
    <row r="243" spans="1:22" x14ac:dyDescent="0.3">
      <c r="A243" t="s">
        <v>370</v>
      </c>
      <c r="B243" t="s">
        <v>260</v>
      </c>
      <c r="C243" s="2">
        <v>3000</v>
      </c>
      <c r="D243" s="2">
        <v>1500</v>
      </c>
      <c r="E243" s="3">
        <v>0.49969467000000001</v>
      </c>
      <c r="F243" s="4">
        <v>29867138</v>
      </c>
      <c r="G243" s="4">
        <v>29867138</v>
      </c>
      <c r="H243" s="4">
        <v>29867138</v>
      </c>
      <c r="I243" s="4">
        <v>39.740712000000002</v>
      </c>
      <c r="J243" s="2">
        <v>10</v>
      </c>
      <c r="K243" s="4">
        <v>29867138</v>
      </c>
      <c r="L243" s="4">
        <v>29867138</v>
      </c>
      <c r="M243" s="4">
        <v>14.759112999999999</v>
      </c>
      <c r="N243" s="2">
        <v>10</v>
      </c>
      <c r="O243" s="4">
        <v>29867138</v>
      </c>
      <c r="P243" s="4">
        <v>29867138</v>
      </c>
      <c r="Q243" s="4">
        <v>5.106452</v>
      </c>
      <c r="R243" s="2">
        <v>10</v>
      </c>
      <c r="S243" s="2">
        <v>29867138</v>
      </c>
      <c r="T243" s="5">
        <v>29867138</v>
      </c>
      <c r="U243">
        <v>32.340088999999999</v>
      </c>
      <c r="V243">
        <v>10</v>
      </c>
    </row>
    <row r="244" spans="1:22" x14ac:dyDescent="0.3">
      <c r="A244" t="s">
        <v>370</v>
      </c>
      <c r="B244" t="s">
        <v>261</v>
      </c>
      <c r="C244" s="2">
        <v>3000</v>
      </c>
      <c r="D244" s="2">
        <v>1500</v>
      </c>
      <c r="E244" s="3">
        <v>0.79987843999999997</v>
      </c>
      <c r="F244" s="4">
        <v>46915044</v>
      </c>
      <c r="G244" s="4">
        <v>46915044</v>
      </c>
      <c r="H244" s="4">
        <v>46915036.399999999</v>
      </c>
      <c r="I244" s="4">
        <v>119.647864</v>
      </c>
      <c r="J244" s="2">
        <v>8</v>
      </c>
      <c r="K244" s="4">
        <v>46915044</v>
      </c>
      <c r="L244" s="4">
        <v>46915044</v>
      </c>
      <c r="M244" s="4">
        <v>50.525008</v>
      </c>
      <c r="N244" s="2">
        <v>10</v>
      </c>
      <c r="O244" s="4">
        <v>46915044</v>
      </c>
      <c r="P244" s="4">
        <v>46915044</v>
      </c>
      <c r="Q244" s="4">
        <v>35.409616</v>
      </c>
      <c r="R244" s="2">
        <v>10</v>
      </c>
      <c r="S244" s="2">
        <v>46915044</v>
      </c>
      <c r="T244" s="5">
        <v>46915044</v>
      </c>
      <c r="U244">
        <v>104.593261</v>
      </c>
      <c r="V244">
        <v>10</v>
      </c>
    </row>
    <row r="245" spans="1:22" x14ac:dyDescent="0.3">
      <c r="A245" t="s">
        <v>370</v>
      </c>
      <c r="B245" t="s">
        <v>262</v>
      </c>
      <c r="C245" s="2">
        <v>3000</v>
      </c>
      <c r="D245" s="2">
        <v>1500</v>
      </c>
      <c r="E245" s="3">
        <v>0.99966666999999998</v>
      </c>
      <c r="F245" s="4">
        <v>58095467</v>
      </c>
      <c r="G245" s="4">
        <v>58095467</v>
      </c>
      <c r="H245" s="4">
        <v>58095467</v>
      </c>
      <c r="I245" s="4">
        <v>107.010707</v>
      </c>
      <c r="J245" s="2">
        <v>10</v>
      </c>
      <c r="K245" s="4">
        <v>58095467</v>
      </c>
      <c r="L245" s="4">
        <v>58095467</v>
      </c>
      <c r="M245" s="4">
        <v>14.476606</v>
      </c>
      <c r="N245" s="2">
        <v>10</v>
      </c>
      <c r="O245" s="4">
        <v>58095467</v>
      </c>
      <c r="P245" s="4">
        <v>58095467</v>
      </c>
      <c r="Q245" s="4">
        <v>4.9581920000000004</v>
      </c>
      <c r="R245" s="2">
        <v>10</v>
      </c>
      <c r="S245" s="2">
        <v>58095467</v>
      </c>
      <c r="T245" s="5">
        <v>58095467</v>
      </c>
      <c r="U245">
        <v>21.248076000000001</v>
      </c>
      <c r="V245">
        <v>10</v>
      </c>
    </row>
    <row r="246" spans="1:22" x14ac:dyDescent="0.3">
      <c r="A246" t="s">
        <v>370</v>
      </c>
      <c r="B246" t="s">
        <v>263</v>
      </c>
      <c r="C246" s="2">
        <v>5000</v>
      </c>
      <c r="D246" s="2">
        <v>2500</v>
      </c>
      <c r="E246" s="3">
        <v>9.9826159999999997E-2</v>
      </c>
      <c r="F246" s="4">
        <v>17509433</v>
      </c>
      <c r="G246" s="4">
        <v>17509068</v>
      </c>
      <c r="H246" s="4">
        <v>17508837.300000001</v>
      </c>
      <c r="I246" t="s">
        <v>25</v>
      </c>
      <c r="J246" s="2">
        <v>0</v>
      </c>
      <c r="K246" s="4">
        <v>17509369</v>
      </c>
      <c r="L246" s="4">
        <v>17509147.399999999</v>
      </c>
      <c r="M246" t="s">
        <v>25</v>
      </c>
      <c r="N246" s="2">
        <v>0</v>
      </c>
      <c r="O246" s="4">
        <v>17509369</v>
      </c>
      <c r="P246" s="4">
        <v>17509331</v>
      </c>
      <c r="Q246" t="s">
        <v>25</v>
      </c>
      <c r="R246" s="2">
        <v>0</v>
      </c>
      <c r="S246" s="2">
        <v>17509369</v>
      </c>
      <c r="T246" s="5">
        <v>17509369</v>
      </c>
      <c r="U246" t="s">
        <v>25</v>
      </c>
      <c r="V246">
        <v>0</v>
      </c>
    </row>
    <row r="247" spans="1:22" x14ac:dyDescent="0.3">
      <c r="A247" t="s">
        <v>370</v>
      </c>
      <c r="B247" t="s">
        <v>264</v>
      </c>
      <c r="C247" s="2">
        <v>5000</v>
      </c>
      <c r="D247" s="2">
        <v>2500</v>
      </c>
      <c r="E247" s="3">
        <v>0.29971152000000001</v>
      </c>
      <c r="F247" s="4">
        <v>50103092</v>
      </c>
      <c r="G247" s="4">
        <v>50103028</v>
      </c>
      <c r="H247" s="4">
        <v>50102882</v>
      </c>
      <c r="I247" t="s">
        <v>25</v>
      </c>
      <c r="J247" s="2">
        <v>0</v>
      </c>
      <c r="K247" s="4">
        <v>50103071</v>
      </c>
      <c r="L247" s="4">
        <v>50103055.899999999</v>
      </c>
      <c r="M247" t="s">
        <v>25</v>
      </c>
      <c r="N247" s="2">
        <v>0</v>
      </c>
      <c r="O247" s="4">
        <v>50103071</v>
      </c>
      <c r="P247" s="4">
        <v>50103059.700000003</v>
      </c>
      <c r="Q247" t="s">
        <v>25</v>
      </c>
      <c r="R247" s="2">
        <v>0</v>
      </c>
      <c r="S247" s="2">
        <v>50103071</v>
      </c>
      <c r="T247" s="5">
        <v>50103061.600000001</v>
      </c>
      <c r="U247" t="s">
        <v>25</v>
      </c>
      <c r="V247">
        <v>0</v>
      </c>
    </row>
    <row r="248" spans="1:22" x14ac:dyDescent="0.3">
      <c r="A248" t="s">
        <v>370</v>
      </c>
      <c r="B248" t="s">
        <v>265</v>
      </c>
      <c r="C248" s="2">
        <v>5000</v>
      </c>
      <c r="D248" s="2">
        <v>2500</v>
      </c>
      <c r="E248" s="3">
        <v>0.49993312000000001</v>
      </c>
      <c r="F248" s="4">
        <v>82040316</v>
      </c>
      <c r="G248" s="4">
        <v>82040094</v>
      </c>
      <c r="H248" s="4">
        <v>82039293.299999997</v>
      </c>
      <c r="I248" t="s">
        <v>25</v>
      </c>
      <c r="J248" s="2">
        <v>0</v>
      </c>
      <c r="K248" s="4">
        <v>82040140</v>
      </c>
      <c r="L248" s="4">
        <v>82040081.200000003</v>
      </c>
      <c r="M248" t="s">
        <v>25</v>
      </c>
      <c r="N248" s="2">
        <v>0</v>
      </c>
      <c r="O248" s="4">
        <v>82040316</v>
      </c>
      <c r="P248" s="4">
        <v>82040141</v>
      </c>
      <c r="Q248" s="4">
        <v>400.23748000000001</v>
      </c>
      <c r="R248" s="2">
        <v>1</v>
      </c>
      <c r="S248" s="2">
        <v>82040140</v>
      </c>
      <c r="T248" s="5">
        <v>82039840.700000003</v>
      </c>
      <c r="U248" t="s">
        <v>25</v>
      </c>
      <c r="V248">
        <v>0</v>
      </c>
    </row>
    <row r="249" spans="1:22" x14ac:dyDescent="0.3">
      <c r="A249" t="s">
        <v>370</v>
      </c>
      <c r="B249" t="s">
        <v>266</v>
      </c>
      <c r="C249" s="2">
        <v>5000</v>
      </c>
      <c r="D249" s="2">
        <v>2500</v>
      </c>
      <c r="E249" s="3">
        <v>0.79976376000000005</v>
      </c>
      <c r="F249" s="4">
        <v>129413710</v>
      </c>
      <c r="G249" s="4">
        <v>129413431</v>
      </c>
      <c r="H249" s="4">
        <v>129413070.5</v>
      </c>
      <c r="I249" t="s">
        <v>25</v>
      </c>
      <c r="J249" s="2">
        <v>0</v>
      </c>
      <c r="K249" s="4">
        <v>129413710</v>
      </c>
      <c r="L249" s="4">
        <v>129413418.59999999</v>
      </c>
      <c r="M249" s="4">
        <v>193.515907</v>
      </c>
      <c r="N249" s="2">
        <v>1</v>
      </c>
      <c r="O249" s="4">
        <v>129413710</v>
      </c>
      <c r="P249" s="4">
        <v>129413515.2</v>
      </c>
      <c r="Q249" s="4">
        <v>115.765193</v>
      </c>
      <c r="R249" s="2">
        <v>2</v>
      </c>
      <c r="S249" s="2">
        <v>129413466</v>
      </c>
      <c r="T249" s="5">
        <v>129413214.90000001</v>
      </c>
      <c r="U249" t="s">
        <v>25</v>
      </c>
      <c r="V249">
        <v>0</v>
      </c>
    </row>
    <row r="250" spans="1:22" x14ac:dyDescent="0.3">
      <c r="A250" t="s">
        <v>370</v>
      </c>
      <c r="B250" t="s">
        <v>267</v>
      </c>
      <c r="C250" s="2">
        <v>5000</v>
      </c>
      <c r="D250" s="2">
        <v>2500</v>
      </c>
      <c r="E250" s="3">
        <v>0.99980000000000002</v>
      </c>
      <c r="F250" s="4">
        <v>160598156</v>
      </c>
      <c r="G250" s="4">
        <v>160598020</v>
      </c>
      <c r="H250" s="4">
        <v>160597870.80000001</v>
      </c>
      <c r="I250" t="s">
        <v>25</v>
      </c>
      <c r="J250" s="2">
        <v>0</v>
      </c>
      <c r="K250" s="4">
        <v>160598156</v>
      </c>
      <c r="L250" s="4">
        <v>160598047.80000001</v>
      </c>
      <c r="M250" s="4">
        <v>497.34756499999997</v>
      </c>
      <c r="N250" s="2">
        <v>2</v>
      </c>
      <c r="O250" s="4">
        <v>160598156</v>
      </c>
      <c r="P250" s="4">
        <v>160598094.59999999</v>
      </c>
      <c r="Q250" s="4">
        <v>255.72176400000001</v>
      </c>
      <c r="R250" s="2">
        <v>5</v>
      </c>
      <c r="S250" s="2">
        <v>160598042</v>
      </c>
      <c r="T250" s="5">
        <v>160597959.80000001</v>
      </c>
      <c r="U250" t="s">
        <v>25</v>
      </c>
      <c r="V250">
        <v>0</v>
      </c>
    </row>
    <row r="251" spans="1:22" x14ac:dyDescent="0.3">
      <c r="A251" s="7" t="s">
        <v>371</v>
      </c>
      <c r="B251" s="7"/>
      <c r="C251" s="8"/>
      <c r="D251" s="8"/>
      <c r="E251" s="9"/>
      <c r="F251" s="10"/>
      <c r="G251" s="12">
        <f t="array" ref="G251">AVERAGE((F241:F250-G241:G250)/F241:F250)</f>
        <v>2.7831970060824924E-6</v>
      </c>
      <c r="H251" s="11">
        <f t="array" ref="H251">AVERAGE((F241:F250-H241:H250)/F241:F250)</f>
        <v>6.7585389171294218E-6</v>
      </c>
      <c r="I251" s="7"/>
      <c r="J251" s="8">
        <f>SUM(J241:J250)</f>
        <v>40</v>
      </c>
      <c r="K251" s="12">
        <f t="array" ref="K251">AVERAGE((F241:F250-K241:K250)/F241:F250)</f>
        <v>6.2195951385814065E-7</v>
      </c>
      <c r="L251" s="12">
        <f t="array" ref="L251">AVERAGE((F241:F250-L241:L250)/F241:F250)</f>
        <v>2.3972587102051139E-6</v>
      </c>
      <c r="M251" s="10"/>
      <c r="N251" s="8">
        <f>SUM(N241:N250)</f>
        <v>52</v>
      </c>
      <c r="O251" s="13">
        <f t="array" ref="O251">AVERAGE((F241:F250-O241:O250)/F241:F250)</f>
        <v>4.07430842369357E-7</v>
      </c>
      <c r="P251" s="12">
        <f t="array" ref="P251">AVERAGE((F241:F250-P241:P250)/F241:F250)</f>
        <v>1.0490770536619716E-6</v>
      </c>
      <c r="Q251" s="10"/>
      <c r="R251" s="8">
        <f>SUM(R241:R250)</f>
        <v>58</v>
      </c>
      <c r="S251" s="12">
        <f t="array" ref="S251">AVERAGE((F241:F250-S241:S250)/F241:F250)</f>
        <v>8.8148676001645021E-7</v>
      </c>
      <c r="T251" s="12">
        <f t="array" ref="T251">AVERAGE((F241:F250-T241:T250)/F241:F250)</f>
        <v>1.5102812627594099E-6</v>
      </c>
      <c r="U251" s="7"/>
      <c r="V251" s="7">
        <f>SUM(V241:V250)</f>
        <v>50</v>
      </c>
    </row>
    <row r="252" spans="1:22" x14ac:dyDescent="0.3">
      <c r="A252" t="s">
        <v>382</v>
      </c>
      <c r="B252" t="s">
        <v>372</v>
      </c>
      <c r="C252" s="2">
        <v>2500</v>
      </c>
      <c r="D252" s="2">
        <v>1000</v>
      </c>
      <c r="E252" s="3">
        <v>9.9350720000000003E-2</v>
      </c>
      <c r="F252" s="4">
        <v>1153068</v>
      </c>
      <c r="G252" s="4">
        <v>1153068</v>
      </c>
      <c r="H252" s="4">
        <v>1153068</v>
      </c>
      <c r="I252" s="4">
        <v>126.264563</v>
      </c>
      <c r="J252" s="2">
        <v>10</v>
      </c>
      <c r="K252" s="4">
        <v>1153068</v>
      </c>
      <c r="L252" s="4">
        <v>1153068</v>
      </c>
      <c r="M252" s="4">
        <v>19.173727</v>
      </c>
      <c r="N252" s="2">
        <v>10</v>
      </c>
      <c r="O252" s="4">
        <v>1153068</v>
      </c>
      <c r="P252" s="4">
        <v>1153068</v>
      </c>
      <c r="Q252" s="4">
        <v>12.821683</v>
      </c>
      <c r="R252" s="2">
        <v>10</v>
      </c>
      <c r="S252">
        <v>1153068</v>
      </c>
      <c r="T252">
        <v>1153068</v>
      </c>
      <c r="U252">
        <v>26.073958999999999</v>
      </c>
      <c r="V252" s="6">
        <v>10</v>
      </c>
    </row>
    <row r="253" spans="1:22" x14ac:dyDescent="0.3">
      <c r="A253" t="s">
        <v>382</v>
      </c>
      <c r="B253" t="s">
        <v>373</v>
      </c>
      <c r="C253" s="2">
        <v>2500</v>
      </c>
      <c r="D253" s="2">
        <v>1000</v>
      </c>
      <c r="E253" s="3">
        <v>9.895168E-2</v>
      </c>
      <c r="F253" s="4">
        <v>1129310</v>
      </c>
      <c r="G253" s="4">
        <v>1129310</v>
      </c>
      <c r="H253" s="4">
        <v>1129310</v>
      </c>
      <c r="I253" s="4">
        <v>245.178481</v>
      </c>
      <c r="J253" s="2">
        <v>10</v>
      </c>
      <c r="K253" s="4">
        <v>1129310</v>
      </c>
      <c r="L253" s="4">
        <v>1129310</v>
      </c>
      <c r="M253" s="4">
        <v>47.360166</v>
      </c>
      <c r="N253" s="2">
        <v>10</v>
      </c>
      <c r="O253" s="4">
        <v>1129310</v>
      </c>
      <c r="P253" s="4">
        <v>1129310</v>
      </c>
      <c r="Q253" s="4">
        <v>22.848483000000002</v>
      </c>
      <c r="R253" s="2">
        <v>10</v>
      </c>
      <c r="S253">
        <v>1129310</v>
      </c>
      <c r="T253">
        <v>1129310</v>
      </c>
      <c r="U253">
        <v>62.430729999999997</v>
      </c>
      <c r="V253" s="6">
        <v>10</v>
      </c>
    </row>
    <row r="254" spans="1:22" x14ac:dyDescent="0.3">
      <c r="A254" t="s">
        <v>382</v>
      </c>
      <c r="B254" t="s">
        <v>374</v>
      </c>
      <c r="C254" s="2">
        <v>2500</v>
      </c>
      <c r="D254" s="2">
        <v>1000</v>
      </c>
      <c r="E254" s="3">
        <v>9.8824319999999993E-2</v>
      </c>
      <c r="F254" s="4">
        <v>1115538</v>
      </c>
      <c r="G254" s="4">
        <v>1115538</v>
      </c>
      <c r="H254" s="4">
        <v>1115538</v>
      </c>
      <c r="I254" s="4">
        <v>54.204810999999999</v>
      </c>
      <c r="J254" s="2">
        <v>10</v>
      </c>
      <c r="K254" s="4">
        <v>1115538</v>
      </c>
      <c r="L254" s="4">
        <v>1115538</v>
      </c>
      <c r="M254" s="4">
        <v>5.5693359999999998</v>
      </c>
      <c r="N254" s="2">
        <v>10</v>
      </c>
      <c r="O254" s="4">
        <v>1115538</v>
      </c>
      <c r="P254" s="4">
        <v>1115538</v>
      </c>
      <c r="Q254" s="4">
        <v>2.3241550000000002</v>
      </c>
      <c r="R254" s="2">
        <v>10</v>
      </c>
      <c r="S254">
        <v>1115538</v>
      </c>
      <c r="T254">
        <v>1115538</v>
      </c>
      <c r="U254">
        <v>30.760570000000001</v>
      </c>
      <c r="V254" s="6">
        <v>10</v>
      </c>
    </row>
    <row r="255" spans="1:22" x14ac:dyDescent="0.3">
      <c r="A255" t="s">
        <v>382</v>
      </c>
      <c r="B255" t="s">
        <v>375</v>
      </c>
      <c r="C255" s="2">
        <v>2500</v>
      </c>
      <c r="D255" s="2">
        <v>1000</v>
      </c>
      <c r="E255" s="3">
        <v>9.8942080000000002E-2</v>
      </c>
      <c r="F255" s="4">
        <v>1148012</v>
      </c>
      <c r="G255" s="4">
        <v>1147840</v>
      </c>
      <c r="H255" s="4">
        <v>1147840</v>
      </c>
      <c r="I255" t="s">
        <v>25</v>
      </c>
      <c r="J255" s="2">
        <v>0</v>
      </c>
      <c r="K255" s="4">
        <v>1147840</v>
      </c>
      <c r="L255" s="4">
        <v>1147840</v>
      </c>
      <c r="M255" t="s">
        <v>25</v>
      </c>
      <c r="N255" s="2">
        <v>0</v>
      </c>
      <c r="O255" s="4">
        <v>1147840</v>
      </c>
      <c r="P255" s="4">
        <v>1147840</v>
      </c>
      <c r="Q255" t="s">
        <v>25</v>
      </c>
      <c r="R255" s="2">
        <v>0</v>
      </c>
      <c r="S255">
        <v>1147840</v>
      </c>
      <c r="T255">
        <v>1147840</v>
      </c>
      <c r="U255" t="s">
        <v>25</v>
      </c>
      <c r="V255" s="6">
        <v>0</v>
      </c>
    </row>
    <row r="256" spans="1:22" x14ac:dyDescent="0.3">
      <c r="A256" t="s">
        <v>382</v>
      </c>
      <c r="B256" t="s">
        <v>376</v>
      </c>
      <c r="C256" s="2">
        <v>2500</v>
      </c>
      <c r="D256" s="2">
        <v>1000</v>
      </c>
      <c r="E256" s="3">
        <v>9.8995840000000002E-2</v>
      </c>
      <c r="F256" s="4">
        <v>1144756</v>
      </c>
      <c r="G256" s="4">
        <v>1144756</v>
      </c>
      <c r="H256" s="4">
        <v>1144756</v>
      </c>
      <c r="I256" s="4">
        <v>47.056649999999998</v>
      </c>
      <c r="J256" s="2">
        <v>10</v>
      </c>
      <c r="K256" s="4">
        <v>1144756</v>
      </c>
      <c r="L256" s="4">
        <v>1144756</v>
      </c>
      <c r="M256" s="4">
        <v>17.781772</v>
      </c>
      <c r="N256" s="2">
        <v>10</v>
      </c>
      <c r="O256" s="4">
        <v>1144756</v>
      </c>
      <c r="P256" s="4">
        <v>1144756</v>
      </c>
      <c r="Q256" s="4">
        <v>5.0501100000000001</v>
      </c>
      <c r="R256" s="2">
        <v>10</v>
      </c>
      <c r="S256">
        <v>1144756</v>
      </c>
      <c r="T256">
        <v>1144756</v>
      </c>
      <c r="U256">
        <v>8.7564410000000006</v>
      </c>
      <c r="V256" s="6">
        <v>10</v>
      </c>
    </row>
    <row r="257" spans="1:22" x14ac:dyDescent="0.3">
      <c r="A257" t="s">
        <v>382</v>
      </c>
      <c r="B257" t="s">
        <v>377</v>
      </c>
      <c r="C257" s="2">
        <v>2500</v>
      </c>
      <c r="D257" s="2">
        <v>1000</v>
      </c>
      <c r="E257" s="3">
        <v>9.8785600000000001E-2</v>
      </c>
      <c r="F257" s="4">
        <v>1133572</v>
      </c>
      <c r="G257" s="4">
        <v>1133572</v>
      </c>
      <c r="H257" s="4">
        <v>1133572</v>
      </c>
      <c r="I257" s="4">
        <v>68.891476999999995</v>
      </c>
      <c r="J257" s="2">
        <v>10</v>
      </c>
      <c r="K257" s="4">
        <v>1133572</v>
      </c>
      <c r="L257" s="4">
        <v>1133572</v>
      </c>
      <c r="M257" s="4">
        <v>10.799735</v>
      </c>
      <c r="N257" s="2">
        <v>10</v>
      </c>
      <c r="O257" s="4">
        <v>1133572</v>
      </c>
      <c r="P257" s="4">
        <v>1133572</v>
      </c>
      <c r="Q257" s="4">
        <v>8.5408779999999993</v>
      </c>
      <c r="R257" s="2">
        <v>10</v>
      </c>
      <c r="S257">
        <v>1133572</v>
      </c>
      <c r="T257">
        <v>1133572</v>
      </c>
      <c r="U257">
        <v>17.058533000000001</v>
      </c>
      <c r="V257" s="6">
        <v>10</v>
      </c>
    </row>
    <row r="258" spans="1:22" x14ac:dyDescent="0.3">
      <c r="A258" t="s">
        <v>382</v>
      </c>
      <c r="B258" t="s">
        <v>378</v>
      </c>
      <c r="C258" s="2">
        <v>2500</v>
      </c>
      <c r="D258" s="2">
        <v>1000</v>
      </c>
      <c r="E258" s="3">
        <v>9.9198720000000004E-2</v>
      </c>
      <c r="F258" s="4">
        <v>1149064</v>
      </c>
      <c r="G258" s="4">
        <v>1149064</v>
      </c>
      <c r="H258" s="4">
        <v>1149059.6000000001</v>
      </c>
      <c r="I258" s="4">
        <v>159.63437500000001</v>
      </c>
      <c r="J258" s="2">
        <v>9</v>
      </c>
      <c r="K258" s="4">
        <v>1149064</v>
      </c>
      <c r="L258" s="4">
        <v>1149064</v>
      </c>
      <c r="M258" s="4">
        <v>42.840563000000003</v>
      </c>
      <c r="N258" s="2">
        <v>10</v>
      </c>
      <c r="O258" s="4">
        <v>1149064</v>
      </c>
      <c r="P258" s="4">
        <v>1149064</v>
      </c>
      <c r="Q258" s="4">
        <v>15.336773000000001</v>
      </c>
      <c r="R258" s="2">
        <v>10</v>
      </c>
      <c r="S258">
        <v>1149064</v>
      </c>
      <c r="T258">
        <v>1149064</v>
      </c>
      <c r="U258">
        <v>31.48226</v>
      </c>
      <c r="V258" s="6">
        <v>10</v>
      </c>
    </row>
    <row r="259" spans="1:22" x14ac:dyDescent="0.3">
      <c r="A259" t="s">
        <v>382</v>
      </c>
      <c r="B259" t="s">
        <v>379</v>
      </c>
      <c r="C259" s="2">
        <v>2500</v>
      </c>
      <c r="D259" s="2">
        <v>1000</v>
      </c>
      <c r="E259" s="3">
        <v>9.8904640000000002E-2</v>
      </c>
      <c r="F259" s="4">
        <v>1142762</v>
      </c>
      <c r="G259" s="4">
        <v>1142762</v>
      </c>
      <c r="H259" s="4">
        <v>1142761.6000000001</v>
      </c>
      <c r="I259" s="4">
        <v>101.120867</v>
      </c>
      <c r="J259" s="2">
        <v>9</v>
      </c>
      <c r="K259" s="4">
        <v>1142762</v>
      </c>
      <c r="L259" s="4">
        <v>1142762</v>
      </c>
      <c r="M259" s="4">
        <v>25.471774</v>
      </c>
      <c r="N259" s="2">
        <v>10</v>
      </c>
      <c r="O259" s="4">
        <v>1142762</v>
      </c>
      <c r="P259" s="4">
        <v>1142762</v>
      </c>
      <c r="Q259" s="4">
        <v>11.082634000000001</v>
      </c>
      <c r="R259" s="2">
        <v>10</v>
      </c>
      <c r="S259">
        <v>1142762</v>
      </c>
      <c r="T259">
        <v>1142762</v>
      </c>
      <c r="U259">
        <v>15.660206000000001</v>
      </c>
      <c r="V259" s="6">
        <v>10</v>
      </c>
    </row>
    <row r="260" spans="1:22" x14ac:dyDescent="0.3">
      <c r="A260" t="s">
        <v>382</v>
      </c>
      <c r="B260" t="s">
        <v>380</v>
      </c>
      <c r="C260" s="2">
        <v>2500</v>
      </c>
      <c r="D260" s="2">
        <v>1000</v>
      </c>
      <c r="E260" s="3">
        <v>9.9116800000000005E-2</v>
      </c>
      <c r="F260" s="4">
        <v>1138866</v>
      </c>
      <c r="G260" s="4">
        <v>1138866</v>
      </c>
      <c r="H260" s="4">
        <v>1138864.8</v>
      </c>
      <c r="I260" s="4">
        <v>120.155163</v>
      </c>
      <c r="J260" s="2">
        <v>8</v>
      </c>
      <c r="K260" s="4">
        <v>1138866</v>
      </c>
      <c r="L260" s="4">
        <v>1138866</v>
      </c>
      <c r="M260" s="4">
        <v>30.024771000000001</v>
      </c>
      <c r="N260" s="2">
        <v>10</v>
      </c>
      <c r="O260" s="4">
        <v>1138866</v>
      </c>
      <c r="P260" s="4">
        <v>1138866</v>
      </c>
      <c r="Q260" s="4">
        <v>12.181259000000001</v>
      </c>
      <c r="R260" s="2">
        <v>10</v>
      </c>
      <c r="S260">
        <v>1138866</v>
      </c>
      <c r="T260">
        <v>1138866</v>
      </c>
      <c r="U260">
        <v>45.753047000000002</v>
      </c>
      <c r="V260" s="6">
        <v>10</v>
      </c>
    </row>
    <row r="261" spans="1:22" x14ac:dyDescent="0.3">
      <c r="A261" t="s">
        <v>382</v>
      </c>
      <c r="B261" t="s">
        <v>381</v>
      </c>
      <c r="C261" s="2">
        <v>2500</v>
      </c>
      <c r="D261" s="2">
        <v>1000</v>
      </c>
      <c r="E261" s="3">
        <v>9.8924800000000007E-2</v>
      </c>
      <c r="F261" s="4">
        <v>1153936</v>
      </c>
      <c r="G261" s="4">
        <v>1153936</v>
      </c>
      <c r="H261" s="4">
        <v>1153936</v>
      </c>
      <c r="I261" s="4">
        <v>186.12485100000001</v>
      </c>
      <c r="J261" s="2">
        <v>10</v>
      </c>
      <c r="K261" s="4">
        <v>1153936</v>
      </c>
      <c r="L261" s="4">
        <v>1153936</v>
      </c>
      <c r="M261" s="4">
        <v>25.052244000000002</v>
      </c>
      <c r="N261" s="2">
        <v>10</v>
      </c>
      <c r="O261" s="4">
        <v>1153936</v>
      </c>
      <c r="P261" s="4">
        <v>1153936</v>
      </c>
      <c r="Q261" s="4">
        <v>19.906952</v>
      </c>
      <c r="R261" s="2">
        <v>10</v>
      </c>
      <c r="S261">
        <v>1153936</v>
      </c>
      <c r="T261">
        <v>1153936</v>
      </c>
      <c r="U261">
        <v>34.563628999999999</v>
      </c>
      <c r="V261" s="6">
        <v>10</v>
      </c>
    </row>
    <row r="262" spans="1:22" x14ac:dyDescent="0.3">
      <c r="A262" s="7" t="s">
        <v>383</v>
      </c>
      <c r="B262" s="7"/>
      <c r="C262" s="8"/>
      <c r="D262" s="8"/>
      <c r="E262" s="9"/>
      <c r="F262" s="10"/>
      <c r="G262" s="11">
        <f t="array" ref="G262">AVERAGE((F252:F261-G252:G261)/F252:F261)</f>
        <v>1.4982421786531849E-5</v>
      </c>
      <c r="H262" s="11">
        <f t="array" ref="H262">AVERAGE((F252:F261-H252:H261)/F252:F261)</f>
        <v>1.5505713031329267E-5</v>
      </c>
      <c r="I262" s="10"/>
      <c r="J262" s="8">
        <f>SUM(J252:J261)</f>
        <v>86</v>
      </c>
      <c r="K262" s="11">
        <f t="array" ref="K262">AVERAGE((F252:F261-K252:K261)/F252:F261)</f>
        <v>1.4982421786531849E-5</v>
      </c>
      <c r="L262" s="11">
        <f t="array" ref="L262">AVERAGE((F252:F261-L252:L261)/F252:F261)</f>
        <v>1.4982421786531849E-5</v>
      </c>
      <c r="M262" s="10"/>
      <c r="N262" s="8">
        <f>SUM(N252:N261)</f>
        <v>90</v>
      </c>
      <c r="O262" s="11">
        <f t="array" ref="O262">AVERAGE((F252:F261-O252:O261)/F252:F261)</f>
        <v>1.4982421786531849E-5</v>
      </c>
      <c r="P262" s="11">
        <f t="array" ref="P262">AVERAGE((F252:F261-P252:P261)/F252:F261)</f>
        <v>1.4982421786531849E-5</v>
      </c>
      <c r="Q262" s="10"/>
      <c r="R262" s="8">
        <f>SUM(R252:R261)</f>
        <v>90</v>
      </c>
      <c r="S262" s="11">
        <f t="array" ref="S262">AVERAGE((F252:F261-S252:S261)/F252:F261)</f>
        <v>1.4982421786531849E-5</v>
      </c>
      <c r="T262" s="11">
        <f t="array" ref="T262">AVERAGE((F252:F261-T252:T261)/F252:F261)</f>
        <v>1.4982421786531849E-5</v>
      </c>
      <c r="U262" s="7"/>
      <c r="V262" s="14">
        <f>SUM(V252:V261)</f>
        <v>90</v>
      </c>
    </row>
    <row r="263" spans="1:22" x14ac:dyDescent="0.3">
      <c r="A263" t="s">
        <v>268</v>
      </c>
      <c r="B263" t="s">
        <v>269</v>
      </c>
      <c r="C263" s="2">
        <v>100</v>
      </c>
      <c r="D263" s="2">
        <v>10</v>
      </c>
      <c r="E263" s="3">
        <v>0.88900000000000001</v>
      </c>
      <c r="F263" s="4">
        <v>333</v>
      </c>
      <c r="G263" s="4">
        <v>333</v>
      </c>
      <c r="H263" s="4">
        <v>333</v>
      </c>
      <c r="I263" s="4">
        <v>7.18E-4</v>
      </c>
      <c r="J263" s="2">
        <v>10</v>
      </c>
      <c r="K263" s="4">
        <v>333</v>
      </c>
      <c r="L263" s="4">
        <v>333</v>
      </c>
      <c r="M263" s="4">
        <v>1.8799999999999999E-4</v>
      </c>
      <c r="N263" s="2">
        <v>10</v>
      </c>
      <c r="O263" s="4">
        <v>333</v>
      </c>
      <c r="P263" s="4">
        <v>333</v>
      </c>
      <c r="Q263" s="4">
        <v>1.7200000000000001E-4</v>
      </c>
      <c r="R263" s="2">
        <v>10</v>
      </c>
      <c r="S263" s="4">
        <v>333</v>
      </c>
      <c r="T263" s="4">
        <v>333</v>
      </c>
      <c r="U263">
        <v>7.1301000000000003E-2</v>
      </c>
      <c r="V263" s="6">
        <v>10</v>
      </c>
    </row>
    <row r="264" spans="1:22" x14ac:dyDescent="0.3">
      <c r="A264" t="s">
        <v>268</v>
      </c>
      <c r="B264" t="s">
        <v>270</v>
      </c>
      <c r="C264" s="2">
        <v>100</v>
      </c>
      <c r="D264" s="2">
        <v>20</v>
      </c>
      <c r="E264" s="3">
        <v>0.88260000000000005</v>
      </c>
      <c r="F264" s="4">
        <v>1195</v>
      </c>
      <c r="G264" s="4">
        <v>1195</v>
      </c>
      <c r="H264" s="4">
        <v>1195</v>
      </c>
      <c r="I264" s="4">
        <v>1.1620000000000001E-3</v>
      </c>
      <c r="J264" s="2">
        <v>10</v>
      </c>
      <c r="K264" s="4">
        <v>1195</v>
      </c>
      <c r="L264" s="4">
        <v>1195</v>
      </c>
      <c r="M264" s="4">
        <v>3.8000000000000002E-4</v>
      </c>
      <c r="N264" s="2">
        <v>10</v>
      </c>
      <c r="O264" s="4">
        <v>1195</v>
      </c>
      <c r="P264" s="4">
        <v>1195</v>
      </c>
      <c r="Q264" s="4">
        <v>3.4299999999999999E-4</v>
      </c>
      <c r="R264" s="2">
        <v>10</v>
      </c>
      <c r="S264" s="4">
        <v>1195</v>
      </c>
      <c r="T264" s="4">
        <v>1195</v>
      </c>
      <c r="U264">
        <v>8.3609000000000003E-2</v>
      </c>
      <c r="V264" s="6">
        <v>10</v>
      </c>
    </row>
    <row r="265" spans="1:22" x14ac:dyDescent="0.3">
      <c r="A265" t="s">
        <v>268</v>
      </c>
      <c r="B265" t="s">
        <v>271</v>
      </c>
      <c r="C265" s="2">
        <v>100</v>
      </c>
      <c r="D265" s="2">
        <v>30</v>
      </c>
      <c r="E265" s="3">
        <v>0.88919999999999999</v>
      </c>
      <c r="F265" s="4">
        <v>2457</v>
      </c>
      <c r="G265" s="4">
        <v>2457</v>
      </c>
      <c r="H265" s="4">
        <v>2457</v>
      </c>
      <c r="I265" s="4">
        <v>4.0900000000000002E-4</v>
      </c>
      <c r="J265" s="2">
        <v>10</v>
      </c>
      <c r="K265" s="4">
        <v>2457</v>
      </c>
      <c r="L265" s="4">
        <v>2457</v>
      </c>
      <c r="M265" s="4">
        <v>5.4299999999999997E-4</v>
      </c>
      <c r="N265" s="2">
        <v>10</v>
      </c>
      <c r="O265" s="4">
        <v>2457</v>
      </c>
      <c r="P265" s="4">
        <v>2457</v>
      </c>
      <c r="Q265" s="4">
        <v>5.5999999999999995E-4</v>
      </c>
      <c r="R265" s="2">
        <v>10</v>
      </c>
      <c r="S265" s="4">
        <v>2457</v>
      </c>
      <c r="T265" s="4">
        <v>2457</v>
      </c>
      <c r="U265">
        <v>8.6457999999999993E-2</v>
      </c>
      <c r="V265" s="6">
        <v>10</v>
      </c>
    </row>
    <row r="266" spans="1:22" x14ac:dyDescent="0.3">
      <c r="A266" t="s">
        <v>268</v>
      </c>
      <c r="B266" t="s">
        <v>272</v>
      </c>
      <c r="C266" s="2">
        <v>100</v>
      </c>
      <c r="D266" s="2">
        <v>40</v>
      </c>
      <c r="E266" s="3">
        <v>0.89119999999999999</v>
      </c>
      <c r="F266" s="4">
        <v>4142</v>
      </c>
      <c r="G266" s="4">
        <v>4142</v>
      </c>
      <c r="H266" s="4">
        <v>4142</v>
      </c>
      <c r="I266" s="4">
        <v>1.3569999999999999E-3</v>
      </c>
      <c r="J266" s="2">
        <v>10</v>
      </c>
      <c r="K266" s="4">
        <v>4142</v>
      </c>
      <c r="L266" s="4">
        <v>4142</v>
      </c>
      <c r="M266" s="4">
        <v>6.4499999999999996E-4</v>
      </c>
      <c r="N266" s="2">
        <v>10</v>
      </c>
      <c r="O266" s="4">
        <v>4142</v>
      </c>
      <c r="P266" s="4">
        <v>4142</v>
      </c>
      <c r="Q266" s="4">
        <v>6.29E-4</v>
      </c>
      <c r="R266" s="2">
        <v>10</v>
      </c>
      <c r="S266" s="4">
        <v>4142</v>
      </c>
      <c r="T266" s="4">
        <v>4142</v>
      </c>
      <c r="U266">
        <v>8.5947999999999997E-2</v>
      </c>
      <c r="V266" s="6">
        <v>10</v>
      </c>
    </row>
    <row r="267" spans="1:22" x14ac:dyDescent="0.3">
      <c r="A267" t="s">
        <v>268</v>
      </c>
      <c r="B267" t="s">
        <v>273</v>
      </c>
      <c r="C267" s="2">
        <v>200</v>
      </c>
      <c r="D267" s="2">
        <v>20</v>
      </c>
      <c r="E267" s="3">
        <v>0.89784999999999993</v>
      </c>
      <c r="F267" s="4">
        <v>1247</v>
      </c>
      <c r="G267" s="4">
        <v>1247</v>
      </c>
      <c r="H267" s="4">
        <v>1247</v>
      </c>
      <c r="I267" s="4">
        <v>1.0985E-2</v>
      </c>
      <c r="J267" s="2">
        <v>10</v>
      </c>
      <c r="K267" s="4">
        <v>1247</v>
      </c>
      <c r="L267" s="4">
        <v>1247</v>
      </c>
      <c r="M267" s="4">
        <v>2.3739999999999998E-3</v>
      </c>
      <c r="N267" s="2">
        <v>10</v>
      </c>
      <c r="O267" s="4">
        <v>1247</v>
      </c>
      <c r="P267" s="4">
        <v>1247</v>
      </c>
      <c r="Q267" s="4">
        <v>1.101E-3</v>
      </c>
      <c r="R267" s="2">
        <v>10</v>
      </c>
      <c r="S267" s="4">
        <v>1247</v>
      </c>
      <c r="T267" s="4">
        <v>1247</v>
      </c>
      <c r="U267">
        <v>0.12235699999999999</v>
      </c>
      <c r="V267" s="6">
        <v>10</v>
      </c>
    </row>
    <row r="268" spans="1:22" x14ac:dyDescent="0.3">
      <c r="A268" t="s">
        <v>268</v>
      </c>
      <c r="B268" t="s">
        <v>274</v>
      </c>
      <c r="C268" s="2">
        <v>200</v>
      </c>
      <c r="D268" s="2">
        <v>40</v>
      </c>
      <c r="E268" s="3">
        <v>0.9002</v>
      </c>
      <c r="F268" s="4">
        <v>4450</v>
      </c>
      <c r="G268" s="4">
        <v>4450</v>
      </c>
      <c r="H268" s="4">
        <v>4450</v>
      </c>
      <c r="I268" s="4">
        <v>1.0828000000000001E-2</v>
      </c>
      <c r="J268" s="2">
        <v>10</v>
      </c>
      <c r="K268" s="4">
        <v>4450</v>
      </c>
      <c r="L268" s="4">
        <v>4450</v>
      </c>
      <c r="M268" s="4">
        <v>1.32E-3</v>
      </c>
      <c r="N268" s="2">
        <v>10</v>
      </c>
      <c r="O268" s="4">
        <v>4450</v>
      </c>
      <c r="P268" s="4">
        <v>4450</v>
      </c>
      <c r="Q268" s="4">
        <v>1.627E-3</v>
      </c>
      <c r="R268" s="2">
        <v>10</v>
      </c>
      <c r="S268" s="4">
        <v>4450</v>
      </c>
      <c r="T268" s="4">
        <v>4450</v>
      </c>
      <c r="U268">
        <v>0.14432400000000001</v>
      </c>
      <c r="V268" s="6">
        <v>10</v>
      </c>
    </row>
    <row r="269" spans="1:22" x14ac:dyDescent="0.3">
      <c r="A269" t="s">
        <v>268</v>
      </c>
      <c r="B269" t="s">
        <v>275</v>
      </c>
      <c r="C269" s="2">
        <v>200</v>
      </c>
      <c r="D269" s="2">
        <v>60</v>
      </c>
      <c r="E269" s="3">
        <v>0.89334999999999998</v>
      </c>
      <c r="F269" s="4">
        <v>9437</v>
      </c>
      <c r="G269" s="4">
        <v>9437</v>
      </c>
      <c r="H269" s="4">
        <v>9437</v>
      </c>
      <c r="I269" s="4">
        <v>3.3470000000000001E-3</v>
      </c>
      <c r="J269" s="2">
        <v>10</v>
      </c>
      <c r="K269" s="4">
        <v>9437</v>
      </c>
      <c r="L269" s="4">
        <v>9437</v>
      </c>
      <c r="M269" s="4">
        <v>1.9550000000000001E-3</v>
      </c>
      <c r="N269" s="2">
        <v>10</v>
      </c>
      <c r="O269" s="4">
        <v>9437</v>
      </c>
      <c r="P269" s="4">
        <v>9437</v>
      </c>
      <c r="Q269" s="4">
        <v>1.7329999999999999E-3</v>
      </c>
      <c r="R269" s="2">
        <v>10</v>
      </c>
      <c r="S269" s="4">
        <v>9437</v>
      </c>
      <c r="T269" s="4">
        <v>9437</v>
      </c>
      <c r="U269">
        <v>0.114412</v>
      </c>
      <c r="V269" s="6">
        <v>10</v>
      </c>
    </row>
    <row r="270" spans="1:22" x14ac:dyDescent="0.3">
      <c r="A270" t="s">
        <v>268</v>
      </c>
      <c r="B270" t="s">
        <v>276</v>
      </c>
      <c r="C270" s="2">
        <v>200</v>
      </c>
      <c r="D270" s="2">
        <v>80</v>
      </c>
      <c r="E270" s="3">
        <v>0.89890000000000003</v>
      </c>
      <c r="F270" s="4">
        <v>16225</v>
      </c>
      <c r="G270" s="4">
        <v>16225</v>
      </c>
      <c r="H270" s="4">
        <v>16225</v>
      </c>
      <c r="I270" s="4">
        <v>2.764E-3</v>
      </c>
      <c r="J270" s="2">
        <v>10</v>
      </c>
      <c r="K270" s="4">
        <v>16225</v>
      </c>
      <c r="L270" s="4">
        <v>16225</v>
      </c>
      <c r="M270" s="4">
        <v>2.0330000000000001E-3</v>
      </c>
      <c r="N270" s="2">
        <v>10</v>
      </c>
      <c r="O270" s="4">
        <v>16225</v>
      </c>
      <c r="P270" s="4">
        <v>16225</v>
      </c>
      <c r="Q270" s="4">
        <v>2.1090000000000002E-3</v>
      </c>
      <c r="R270" s="2">
        <v>10</v>
      </c>
      <c r="S270" s="4">
        <v>16225</v>
      </c>
      <c r="T270" s="4">
        <v>16225</v>
      </c>
      <c r="U270">
        <v>0.115143</v>
      </c>
      <c r="V270" s="6">
        <v>10</v>
      </c>
    </row>
    <row r="271" spans="1:22" x14ac:dyDescent="0.3">
      <c r="A271" t="s">
        <v>268</v>
      </c>
      <c r="B271" t="s">
        <v>277</v>
      </c>
      <c r="C271" s="2">
        <v>300</v>
      </c>
      <c r="D271" s="2">
        <v>30</v>
      </c>
      <c r="E271" s="3">
        <v>0.89953333000000002</v>
      </c>
      <c r="F271" s="4">
        <v>2694</v>
      </c>
      <c r="G271" s="4">
        <v>2694</v>
      </c>
      <c r="H271" s="4">
        <v>2694</v>
      </c>
      <c r="I271" s="4">
        <v>2.0858999999999999E-2</v>
      </c>
      <c r="J271" s="2">
        <v>10</v>
      </c>
      <c r="K271" s="4">
        <v>2694</v>
      </c>
      <c r="L271" s="4">
        <v>2694</v>
      </c>
      <c r="M271" s="4">
        <v>5.4409999999999997E-3</v>
      </c>
      <c r="N271" s="2">
        <v>10</v>
      </c>
      <c r="O271" s="4">
        <v>2694</v>
      </c>
      <c r="P271" s="4">
        <v>2694</v>
      </c>
      <c r="Q271" s="4">
        <v>6.0639999999999999E-3</v>
      </c>
      <c r="R271" s="2">
        <v>10</v>
      </c>
      <c r="S271" s="4">
        <v>2694</v>
      </c>
      <c r="T271" s="4">
        <v>2694</v>
      </c>
      <c r="U271">
        <v>0.17682400000000001</v>
      </c>
      <c r="V271" s="6">
        <v>10</v>
      </c>
    </row>
    <row r="272" spans="1:22" x14ac:dyDescent="0.3">
      <c r="A272" t="s">
        <v>268</v>
      </c>
      <c r="B272" t="s">
        <v>278</v>
      </c>
      <c r="C272" s="2">
        <v>300</v>
      </c>
      <c r="D272" s="2">
        <v>60</v>
      </c>
      <c r="E272" s="3">
        <v>0.89597778000000006</v>
      </c>
      <c r="F272" s="4">
        <v>9689</v>
      </c>
      <c r="G272" s="4">
        <v>9689</v>
      </c>
      <c r="H272" s="4">
        <v>9689</v>
      </c>
      <c r="I272" s="4">
        <v>4.9977000000000001E-2</v>
      </c>
      <c r="J272" s="2">
        <v>10</v>
      </c>
      <c r="K272" s="4">
        <v>9689</v>
      </c>
      <c r="L272" s="4">
        <v>9689</v>
      </c>
      <c r="M272" s="4">
        <v>6.8910000000000004E-3</v>
      </c>
      <c r="N272" s="2">
        <v>10</v>
      </c>
      <c r="O272" s="4">
        <v>9689</v>
      </c>
      <c r="P272" s="4">
        <v>9689</v>
      </c>
      <c r="Q272" s="4">
        <v>5.94E-3</v>
      </c>
      <c r="R272" s="2">
        <v>10</v>
      </c>
      <c r="S272" s="4">
        <v>9689</v>
      </c>
      <c r="T272" s="4">
        <v>9689</v>
      </c>
      <c r="U272">
        <v>0.17716399999999999</v>
      </c>
      <c r="V272" s="6">
        <v>10</v>
      </c>
    </row>
    <row r="273" spans="1:22" x14ac:dyDescent="0.3">
      <c r="A273" t="s">
        <v>268</v>
      </c>
      <c r="B273" t="s">
        <v>279</v>
      </c>
      <c r="C273" s="2">
        <v>300</v>
      </c>
      <c r="D273" s="2">
        <v>90</v>
      </c>
      <c r="E273" s="3">
        <v>0.89684443999999996</v>
      </c>
      <c r="F273" s="4">
        <v>20743</v>
      </c>
      <c r="G273" s="4">
        <v>20743</v>
      </c>
      <c r="H273" s="4">
        <v>20743</v>
      </c>
      <c r="I273" s="4">
        <v>3.2888000000000001E-2</v>
      </c>
      <c r="J273" s="2">
        <v>10</v>
      </c>
      <c r="K273" s="4">
        <v>20743</v>
      </c>
      <c r="L273" s="4">
        <v>20743</v>
      </c>
      <c r="M273" s="4">
        <v>1.7742999999999998E-2</v>
      </c>
      <c r="N273" s="2">
        <v>10</v>
      </c>
      <c r="O273" s="4">
        <v>20743</v>
      </c>
      <c r="P273" s="4">
        <v>20743</v>
      </c>
      <c r="Q273" s="4">
        <v>1.2367E-2</v>
      </c>
      <c r="R273" s="2">
        <v>10</v>
      </c>
      <c r="S273" s="4">
        <v>20743</v>
      </c>
      <c r="T273" s="4">
        <v>20743</v>
      </c>
      <c r="U273">
        <v>0.16925499999999999</v>
      </c>
      <c r="V273" s="6">
        <v>10</v>
      </c>
    </row>
    <row r="274" spans="1:22" x14ac:dyDescent="0.3">
      <c r="A274" t="s">
        <v>268</v>
      </c>
      <c r="B274" t="s">
        <v>280</v>
      </c>
      <c r="C274" s="2">
        <v>300</v>
      </c>
      <c r="D274" s="2">
        <v>120</v>
      </c>
      <c r="E274" s="3">
        <v>0.89806667000000007</v>
      </c>
      <c r="F274" s="4">
        <v>35881</v>
      </c>
      <c r="G274" s="4">
        <v>35881</v>
      </c>
      <c r="H274" s="4">
        <v>35881</v>
      </c>
      <c r="I274" s="4">
        <v>1.5699999999999999E-2</v>
      </c>
      <c r="J274" s="2">
        <v>10</v>
      </c>
      <c r="K274" s="4">
        <v>35881</v>
      </c>
      <c r="L274" s="4">
        <v>35881</v>
      </c>
      <c r="M274" s="4">
        <v>7.5100000000000002E-3</v>
      </c>
      <c r="N274" s="2">
        <v>10</v>
      </c>
      <c r="O274" s="4">
        <v>35881</v>
      </c>
      <c r="P274" s="4">
        <v>35881</v>
      </c>
      <c r="Q274" s="4">
        <v>8.1620000000000009E-3</v>
      </c>
      <c r="R274" s="2">
        <v>10</v>
      </c>
      <c r="S274" s="4">
        <v>35881</v>
      </c>
      <c r="T274" s="4">
        <v>35881</v>
      </c>
      <c r="U274">
        <v>0.14192299999999999</v>
      </c>
      <c r="V274" s="6">
        <v>10</v>
      </c>
    </row>
    <row r="275" spans="1:22" x14ac:dyDescent="0.3">
      <c r="A275" t="s">
        <v>268</v>
      </c>
      <c r="B275" t="s">
        <v>281</v>
      </c>
      <c r="C275" s="2">
        <v>400</v>
      </c>
      <c r="D275" s="2">
        <v>40</v>
      </c>
      <c r="E275" s="3">
        <v>0.89656250000000004</v>
      </c>
      <c r="F275" s="4">
        <v>4658</v>
      </c>
      <c r="G275" s="4">
        <v>4658</v>
      </c>
      <c r="H275" s="4">
        <v>4658</v>
      </c>
      <c r="I275" s="4">
        <v>3.0422000000000001E-2</v>
      </c>
      <c r="J275" s="2">
        <v>10</v>
      </c>
      <c r="K275" s="4">
        <v>4658</v>
      </c>
      <c r="L275" s="4">
        <v>4658</v>
      </c>
      <c r="M275" s="4">
        <v>1.133E-2</v>
      </c>
      <c r="N275" s="2">
        <v>10</v>
      </c>
      <c r="O275" s="4">
        <v>4658</v>
      </c>
      <c r="P275" s="4">
        <v>4658</v>
      </c>
      <c r="Q275" s="4">
        <v>9.1660000000000005E-3</v>
      </c>
      <c r="R275" s="2">
        <v>10</v>
      </c>
      <c r="S275" s="4">
        <v>4658</v>
      </c>
      <c r="T275" s="4">
        <v>4658</v>
      </c>
      <c r="U275">
        <v>0.20650199999999999</v>
      </c>
      <c r="V275" s="6">
        <v>10</v>
      </c>
    </row>
    <row r="276" spans="1:22" x14ac:dyDescent="0.3">
      <c r="A276" t="s">
        <v>268</v>
      </c>
      <c r="B276" t="s">
        <v>282</v>
      </c>
      <c r="C276" s="2">
        <v>400</v>
      </c>
      <c r="D276" s="2">
        <v>80</v>
      </c>
      <c r="E276" s="3">
        <v>0.89840000000000009</v>
      </c>
      <c r="F276" s="4">
        <v>16956</v>
      </c>
      <c r="G276" s="4">
        <v>16956</v>
      </c>
      <c r="H276" s="4">
        <v>16956</v>
      </c>
      <c r="I276" s="4">
        <v>8.8993000000000003E-2</v>
      </c>
      <c r="J276" s="2">
        <v>10</v>
      </c>
      <c r="K276" s="4">
        <v>16956</v>
      </c>
      <c r="L276" s="4">
        <v>16956</v>
      </c>
      <c r="M276" s="4">
        <v>3.0993E-2</v>
      </c>
      <c r="N276" s="2">
        <v>10</v>
      </c>
      <c r="O276" s="4">
        <v>16956</v>
      </c>
      <c r="P276" s="4">
        <v>16956</v>
      </c>
      <c r="Q276" s="4">
        <v>1.9011E-2</v>
      </c>
      <c r="R276" s="2">
        <v>10</v>
      </c>
      <c r="S276" s="4">
        <v>16956</v>
      </c>
      <c r="T276" s="4">
        <v>16956</v>
      </c>
      <c r="U276">
        <v>0.21449199999999999</v>
      </c>
      <c r="V276" s="6">
        <v>10</v>
      </c>
    </row>
    <row r="277" spans="1:22" x14ac:dyDescent="0.3">
      <c r="A277" t="s">
        <v>268</v>
      </c>
      <c r="B277" t="s">
        <v>283</v>
      </c>
      <c r="C277" s="2">
        <v>400</v>
      </c>
      <c r="D277" s="2">
        <v>120</v>
      </c>
      <c r="E277" s="3">
        <v>0.8985375000000001</v>
      </c>
      <c r="F277" s="4">
        <v>36317</v>
      </c>
      <c r="G277" s="4">
        <v>36317</v>
      </c>
      <c r="H277" s="4">
        <v>36317</v>
      </c>
      <c r="I277" s="4">
        <v>5.3938E-2</v>
      </c>
      <c r="J277" s="2">
        <v>10</v>
      </c>
      <c r="K277" s="4">
        <v>36317</v>
      </c>
      <c r="L277" s="4">
        <v>36317</v>
      </c>
      <c r="M277" s="4">
        <v>2.2508E-2</v>
      </c>
      <c r="N277" s="2">
        <v>10</v>
      </c>
      <c r="O277" s="4">
        <v>36317</v>
      </c>
      <c r="P277" s="4">
        <v>36317</v>
      </c>
      <c r="Q277" s="4">
        <v>1.8530000000000001E-2</v>
      </c>
      <c r="R277" s="2">
        <v>10</v>
      </c>
      <c r="S277" s="4">
        <v>36317</v>
      </c>
      <c r="T277" s="4">
        <v>36317</v>
      </c>
      <c r="U277">
        <v>0.18620800000000001</v>
      </c>
      <c r="V277" s="6">
        <v>10</v>
      </c>
    </row>
    <row r="278" spans="1:22" x14ac:dyDescent="0.3">
      <c r="A278" t="s">
        <v>268</v>
      </c>
      <c r="B278" t="s">
        <v>284</v>
      </c>
      <c r="C278" s="2">
        <v>400</v>
      </c>
      <c r="D278" s="2">
        <v>160</v>
      </c>
      <c r="E278" s="3">
        <v>0.89641249999999995</v>
      </c>
      <c r="F278" s="4">
        <v>62487</v>
      </c>
      <c r="G278" s="4">
        <v>62487</v>
      </c>
      <c r="H278" s="4">
        <v>62487</v>
      </c>
      <c r="I278" s="4">
        <v>0.22217700000000001</v>
      </c>
      <c r="J278" s="2">
        <v>10</v>
      </c>
      <c r="K278" s="4">
        <v>62487</v>
      </c>
      <c r="L278" s="4">
        <v>62487</v>
      </c>
      <c r="M278" s="4">
        <v>1.7687999999999999E-2</v>
      </c>
      <c r="N278" s="2">
        <v>10</v>
      </c>
      <c r="O278" s="4">
        <v>62487</v>
      </c>
      <c r="P278" s="4">
        <v>62487</v>
      </c>
      <c r="Q278" s="4">
        <v>1.3686E-2</v>
      </c>
      <c r="R278" s="2">
        <v>10</v>
      </c>
      <c r="S278" s="4">
        <v>62487</v>
      </c>
      <c r="T278" s="4">
        <v>62487</v>
      </c>
      <c r="U278">
        <v>0.21249899999999999</v>
      </c>
      <c r="V278" s="6">
        <v>10</v>
      </c>
    </row>
    <row r="279" spans="1:22" x14ac:dyDescent="0.3">
      <c r="A279" t="s">
        <v>268</v>
      </c>
      <c r="B279" t="s">
        <v>285</v>
      </c>
      <c r="C279" s="2">
        <v>500</v>
      </c>
      <c r="D279" s="2">
        <v>50</v>
      </c>
      <c r="E279" s="3">
        <v>0.89675199999999999</v>
      </c>
      <c r="F279" s="4">
        <v>7141</v>
      </c>
      <c r="G279" s="4">
        <v>7141</v>
      </c>
      <c r="H279" s="4">
        <v>7141</v>
      </c>
      <c r="I279" s="4">
        <v>4.7247999999999998E-2</v>
      </c>
      <c r="J279" s="2">
        <v>10</v>
      </c>
      <c r="K279" s="4">
        <v>7141</v>
      </c>
      <c r="L279" s="4">
        <v>7141</v>
      </c>
      <c r="M279" s="4">
        <v>1.6964E-2</v>
      </c>
      <c r="N279" s="2">
        <v>10</v>
      </c>
      <c r="O279" s="4">
        <v>7141</v>
      </c>
      <c r="P279" s="4">
        <v>7141</v>
      </c>
      <c r="Q279" s="4">
        <v>1.4486000000000001E-2</v>
      </c>
      <c r="R279" s="2">
        <v>10</v>
      </c>
      <c r="S279" s="4">
        <v>7141</v>
      </c>
      <c r="T279" s="4">
        <v>7141</v>
      </c>
      <c r="U279">
        <v>0.30446200000000001</v>
      </c>
      <c r="V279" s="6">
        <v>10</v>
      </c>
    </row>
    <row r="280" spans="1:22" x14ac:dyDescent="0.3">
      <c r="A280" t="s">
        <v>268</v>
      </c>
      <c r="B280" t="s">
        <v>286</v>
      </c>
      <c r="C280" s="2">
        <v>500</v>
      </c>
      <c r="D280" s="2">
        <v>100</v>
      </c>
      <c r="E280" s="3">
        <v>0.89882400000000007</v>
      </c>
      <c r="F280" s="4">
        <v>26258</v>
      </c>
      <c r="G280" s="4">
        <v>26258</v>
      </c>
      <c r="H280" s="4">
        <v>26258</v>
      </c>
      <c r="I280" s="4">
        <v>2.4122000000000001E-2</v>
      </c>
      <c r="J280" s="2">
        <v>10</v>
      </c>
      <c r="K280" s="4">
        <v>26258</v>
      </c>
      <c r="L280" s="4">
        <v>26258</v>
      </c>
      <c r="M280" s="4">
        <v>8.9990000000000001E-3</v>
      </c>
      <c r="N280" s="2">
        <v>10</v>
      </c>
      <c r="O280" s="4">
        <v>26258</v>
      </c>
      <c r="P280" s="4">
        <v>26258</v>
      </c>
      <c r="Q280" s="4">
        <v>9.2790000000000008E-3</v>
      </c>
      <c r="R280" s="2">
        <v>10</v>
      </c>
      <c r="S280" s="4">
        <v>26258</v>
      </c>
      <c r="T280" s="4">
        <v>26258</v>
      </c>
      <c r="U280">
        <v>0.21012700000000001</v>
      </c>
      <c r="V280" s="6">
        <v>10</v>
      </c>
    </row>
    <row r="281" spans="1:22" x14ac:dyDescent="0.3">
      <c r="A281" t="s">
        <v>268</v>
      </c>
      <c r="B281" t="s">
        <v>287</v>
      </c>
      <c r="C281" s="2">
        <v>500</v>
      </c>
      <c r="D281" s="2">
        <v>150</v>
      </c>
      <c r="E281" s="3">
        <v>0.89879199999999992</v>
      </c>
      <c r="F281" s="4">
        <v>56572</v>
      </c>
      <c r="G281" s="4">
        <v>56572</v>
      </c>
      <c r="H281" s="4">
        <v>56572</v>
      </c>
      <c r="I281" s="4">
        <v>1.6093E-2</v>
      </c>
      <c r="J281" s="2">
        <v>10</v>
      </c>
      <c r="K281" s="4">
        <v>56572</v>
      </c>
      <c r="L281" s="4">
        <v>56572</v>
      </c>
      <c r="M281" s="4">
        <v>6.6600000000000001E-3</v>
      </c>
      <c r="N281" s="2">
        <v>10</v>
      </c>
      <c r="O281" s="4">
        <v>56572</v>
      </c>
      <c r="P281" s="4">
        <v>56572</v>
      </c>
      <c r="Q281" s="4">
        <v>5.5409999999999999E-3</v>
      </c>
      <c r="R281" s="2">
        <v>10</v>
      </c>
      <c r="S281" s="4">
        <v>56572</v>
      </c>
      <c r="T281" s="4">
        <v>56572</v>
      </c>
      <c r="U281">
        <v>0.19977200000000001</v>
      </c>
      <c r="V281" s="6">
        <v>10</v>
      </c>
    </row>
    <row r="282" spans="1:22" x14ac:dyDescent="0.3">
      <c r="A282" t="s">
        <v>268</v>
      </c>
      <c r="B282" t="s">
        <v>288</v>
      </c>
      <c r="C282" s="2">
        <v>500</v>
      </c>
      <c r="D282" s="2">
        <v>200</v>
      </c>
      <c r="E282" s="3">
        <v>0.897312</v>
      </c>
      <c r="F282" s="4">
        <v>97344</v>
      </c>
      <c r="G282" s="4">
        <v>97344</v>
      </c>
      <c r="H282" s="4">
        <v>97344</v>
      </c>
      <c r="I282" s="4">
        <v>3.1129E-2</v>
      </c>
      <c r="J282" s="2">
        <v>10</v>
      </c>
      <c r="K282" s="4">
        <v>97344</v>
      </c>
      <c r="L282" s="4">
        <v>97344</v>
      </c>
      <c r="M282" s="4">
        <v>1.1056E-2</v>
      </c>
      <c r="N282" s="2">
        <v>10</v>
      </c>
      <c r="O282" s="4">
        <v>97344</v>
      </c>
      <c r="P282" s="4">
        <v>97344</v>
      </c>
      <c r="Q282" s="4">
        <v>1.0763999999999999E-2</v>
      </c>
      <c r="R282" s="2">
        <v>10</v>
      </c>
      <c r="S282" s="4">
        <v>97344</v>
      </c>
      <c r="T282" s="4">
        <v>97344</v>
      </c>
      <c r="U282">
        <v>0.21596399999999999</v>
      </c>
      <c r="V282" s="6">
        <v>10</v>
      </c>
    </row>
    <row r="283" spans="1:22" x14ac:dyDescent="0.3">
      <c r="A283" s="7" t="s">
        <v>384</v>
      </c>
      <c r="B283" s="7"/>
      <c r="C283" s="8"/>
      <c r="D283" s="8"/>
      <c r="E283" s="9"/>
      <c r="F283" s="10"/>
      <c r="G283" s="10"/>
      <c r="H283" s="10"/>
      <c r="I283" s="10">
        <f>AVERAGE(I263:I282)</f>
        <v>3.3255799999999995E-2</v>
      </c>
      <c r="J283" s="8">
        <f>SUM(J263:J282)</f>
        <v>200</v>
      </c>
      <c r="K283" s="10"/>
      <c r="L283" s="10"/>
      <c r="M283" s="10">
        <f>AVERAGE(M263:M282)</f>
        <v>8.6610500000000017E-3</v>
      </c>
      <c r="N283" s="8">
        <f>SUM(N263:N282)</f>
        <v>200</v>
      </c>
      <c r="O283" s="10"/>
      <c r="P283" s="10"/>
      <c r="Q283" s="10">
        <f>AVERAGE(Q263:Q282)</f>
        <v>7.0635000000000003E-3</v>
      </c>
      <c r="R283" s="8">
        <f>SUM(R263:R282)</f>
        <v>200</v>
      </c>
      <c r="S283" s="8"/>
      <c r="T283" s="8"/>
      <c r="U283" s="10">
        <f>AVERAGE(U263:U282)</f>
        <v>0.16193719999999998</v>
      </c>
      <c r="V283" s="14">
        <f>SUM(V263:V282)</f>
        <v>200</v>
      </c>
    </row>
    <row r="284" spans="1:22" x14ac:dyDescent="0.3">
      <c r="A284" t="s">
        <v>289</v>
      </c>
      <c r="B284" t="s">
        <v>290</v>
      </c>
      <c r="C284" s="2">
        <v>7000</v>
      </c>
      <c r="D284" s="2">
        <v>100</v>
      </c>
      <c r="E284" s="3">
        <v>1.5151400000000001E-3</v>
      </c>
      <c r="F284" s="4">
        <v>142.13679999999999</v>
      </c>
      <c r="G284" s="4">
        <v>142.13679999999999</v>
      </c>
      <c r="H284" s="4">
        <v>141.725762</v>
      </c>
      <c r="I284" s="4">
        <v>460.38964600000003</v>
      </c>
      <c r="J284" s="2">
        <v>1</v>
      </c>
      <c r="K284" s="4">
        <v>142.13679999999999</v>
      </c>
      <c r="L284" s="4">
        <v>142.13679999999999</v>
      </c>
      <c r="M284" s="4">
        <v>168.24370400000001</v>
      </c>
      <c r="N284" s="2">
        <v>10</v>
      </c>
      <c r="O284" s="4">
        <v>142.13679999999999</v>
      </c>
      <c r="P284" s="4">
        <v>142.13679999999999</v>
      </c>
      <c r="Q284" s="4">
        <v>42.684415999999999</v>
      </c>
      <c r="R284" s="2">
        <v>10</v>
      </c>
      <c r="S284" s="4">
        <v>93.040700000000001</v>
      </c>
      <c r="T284" s="4">
        <v>90.075586000000001</v>
      </c>
      <c r="U284" t="s">
        <v>25</v>
      </c>
      <c r="V284" s="6">
        <v>0</v>
      </c>
    </row>
    <row r="285" spans="1:22" x14ac:dyDescent="0.3">
      <c r="A285" t="s">
        <v>289</v>
      </c>
      <c r="B285" t="s">
        <v>291</v>
      </c>
      <c r="C285" s="2">
        <v>7000</v>
      </c>
      <c r="D285" s="2">
        <v>200</v>
      </c>
      <c r="E285" s="3">
        <v>1.5151400000000001E-3</v>
      </c>
      <c r="F285" s="4">
        <v>247.79705999999999</v>
      </c>
      <c r="G285" s="4">
        <v>247.09128000000001</v>
      </c>
      <c r="H285" s="4">
        <v>246.55972399999999</v>
      </c>
      <c r="I285" t="s">
        <v>25</v>
      </c>
      <c r="J285" s="2">
        <v>0</v>
      </c>
      <c r="K285" s="4">
        <v>247.49347</v>
      </c>
      <c r="L285" s="4">
        <v>247.31543099999999</v>
      </c>
      <c r="M285" t="s">
        <v>25</v>
      </c>
      <c r="N285" s="2">
        <v>0</v>
      </c>
      <c r="O285" s="4">
        <v>247.79705999999999</v>
      </c>
      <c r="P285" s="4">
        <v>247.43049099999999</v>
      </c>
      <c r="Q285" s="4">
        <v>151.61893900000001</v>
      </c>
      <c r="R285" s="2">
        <v>1</v>
      </c>
      <c r="S285" s="4">
        <v>175.41652999999999</v>
      </c>
      <c r="T285" s="4">
        <v>161.313266</v>
      </c>
      <c r="U285" t="s">
        <v>25</v>
      </c>
      <c r="V285" s="6">
        <v>0</v>
      </c>
    </row>
    <row r="286" spans="1:22" x14ac:dyDescent="0.3">
      <c r="A286" t="s">
        <v>289</v>
      </c>
      <c r="B286" t="s">
        <v>292</v>
      </c>
      <c r="C286" s="2">
        <v>7000</v>
      </c>
      <c r="D286" s="2">
        <v>300</v>
      </c>
      <c r="E286" s="3">
        <v>1.5151400000000001E-3</v>
      </c>
      <c r="F286" s="4">
        <v>336.30327499999999</v>
      </c>
      <c r="G286" s="4">
        <v>335.46541500000001</v>
      </c>
      <c r="H286" s="4">
        <v>334.0899225</v>
      </c>
      <c r="I286" t="s">
        <v>25</v>
      </c>
      <c r="J286" s="2">
        <v>0</v>
      </c>
      <c r="K286" s="4">
        <v>336.12909000000002</v>
      </c>
      <c r="L286" s="4">
        <v>335.68151349999999</v>
      </c>
      <c r="M286" t="s">
        <v>25</v>
      </c>
      <c r="N286" s="2">
        <v>0</v>
      </c>
      <c r="O286" s="4">
        <v>335.97354999999999</v>
      </c>
      <c r="P286" s="4">
        <v>335.6068985</v>
      </c>
      <c r="Q286" t="s">
        <v>25</v>
      </c>
      <c r="R286" s="2">
        <v>0</v>
      </c>
      <c r="S286" s="4">
        <v>237.14832999999999</v>
      </c>
      <c r="T286" s="4">
        <v>212.085275</v>
      </c>
      <c r="U286" t="s">
        <v>25</v>
      </c>
      <c r="V286" s="6">
        <v>0</v>
      </c>
    </row>
    <row r="287" spans="1:22" x14ac:dyDescent="0.3">
      <c r="A287" t="s">
        <v>289</v>
      </c>
      <c r="B287" t="s">
        <v>293</v>
      </c>
      <c r="C287" s="2">
        <v>7000</v>
      </c>
      <c r="D287" s="2">
        <v>400</v>
      </c>
      <c r="E287" s="3">
        <v>1.5151400000000001E-3</v>
      </c>
      <c r="F287" s="4">
        <v>416.79459500000002</v>
      </c>
      <c r="G287" s="4">
        <v>416.00817499999999</v>
      </c>
      <c r="H287" s="4">
        <v>414.08972249999999</v>
      </c>
      <c r="I287" t="s">
        <v>25</v>
      </c>
      <c r="J287" s="2">
        <v>0</v>
      </c>
      <c r="K287" s="4">
        <v>415.95862499999998</v>
      </c>
      <c r="L287" s="4">
        <v>415.40988499999997</v>
      </c>
      <c r="M287" t="s">
        <v>25</v>
      </c>
      <c r="N287" s="2">
        <v>0</v>
      </c>
      <c r="O287" s="4">
        <v>416.25204500000001</v>
      </c>
      <c r="P287" s="4">
        <v>416.01697100000001</v>
      </c>
      <c r="Q287" t="s">
        <v>25</v>
      </c>
      <c r="R287" s="2">
        <v>0</v>
      </c>
      <c r="S287" s="4">
        <v>293.71150999999998</v>
      </c>
      <c r="T287" s="4">
        <v>266.48785600000002</v>
      </c>
      <c r="U287" t="s">
        <v>25</v>
      </c>
      <c r="V287" s="6">
        <v>0</v>
      </c>
    </row>
    <row r="288" spans="1:22" x14ac:dyDescent="0.3">
      <c r="A288" t="s">
        <v>289</v>
      </c>
      <c r="B288" t="s">
        <v>294</v>
      </c>
      <c r="C288" s="2">
        <v>7000</v>
      </c>
      <c r="D288" s="2">
        <v>500</v>
      </c>
      <c r="E288" s="3">
        <v>1.5151400000000001E-3</v>
      </c>
      <c r="F288" s="4">
        <v>488.81932499999999</v>
      </c>
      <c r="G288" s="4">
        <v>487.43451499999998</v>
      </c>
      <c r="H288" s="4">
        <v>485.83285000000001</v>
      </c>
      <c r="I288" t="s">
        <v>25</v>
      </c>
      <c r="J288" s="2">
        <v>0</v>
      </c>
      <c r="K288" s="4">
        <v>488.05911500000002</v>
      </c>
      <c r="L288" s="4">
        <v>487.454295</v>
      </c>
      <c r="M288" t="s">
        <v>25</v>
      </c>
      <c r="N288" s="2">
        <v>0</v>
      </c>
      <c r="O288" s="4">
        <v>488.05989499999998</v>
      </c>
      <c r="P288" s="4">
        <v>487.43859400000002</v>
      </c>
      <c r="Q288" t="s">
        <v>25</v>
      </c>
      <c r="R288" s="2">
        <v>0</v>
      </c>
      <c r="S288" s="4">
        <v>351.17739</v>
      </c>
      <c r="T288" s="4">
        <v>324.37021099999998</v>
      </c>
      <c r="U288" t="s">
        <v>25</v>
      </c>
      <c r="V288" s="6">
        <v>0</v>
      </c>
    </row>
    <row r="289" spans="1:22" x14ac:dyDescent="0.3">
      <c r="A289" t="s">
        <v>289</v>
      </c>
      <c r="B289" t="s">
        <v>295</v>
      </c>
      <c r="C289" s="2">
        <v>7000</v>
      </c>
      <c r="D289" s="2">
        <v>100</v>
      </c>
      <c r="E289" s="3">
        <v>1.47196E-3</v>
      </c>
      <c r="F289" s="4">
        <v>160.60842</v>
      </c>
      <c r="G289" s="4">
        <v>160.60103000000001</v>
      </c>
      <c r="H289" s="4">
        <v>159.88654299999999</v>
      </c>
      <c r="I289" t="s">
        <v>25</v>
      </c>
      <c r="J289" s="2">
        <v>0</v>
      </c>
      <c r="K289" s="4">
        <v>160.60842</v>
      </c>
      <c r="L289" s="4">
        <v>160.58491599999999</v>
      </c>
      <c r="M289" s="4">
        <v>312.91322700000001</v>
      </c>
      <c r="N289" s="2">
        <v>7</v>
      </c>
      <c r="O289" s="4">
        <v>160.60842</v>
      </c>
      <c r="P289" s="4">
        <v>160.60768100000001</v>
      </c>
      <c r="Q289" s="4">
        <v>206.99008000000001</v>
      </c>
      <c r="R289" s="2">
        <v>9</v>
      </c>
      <c r="S289" s="4">
        <v>139.41077999999999</v>
      </c>
      <c r="T289" s="4">
        <v>130.22988699999999</v>
      </c>
      <c r="U289" t="s">
        <v>25</v>
      </c>
      <c r="V289" s="6">
        <v>0</v>
      </c>
    </row>
    <row r="290" spans="1:22" x14ac:dyDescent="0.3">
      <c r="A290" t="s">
        <v>289</v>
      </c>
      <c r="B290" t="s">
        <v>296</v>
      </c>
      <c r="C290" s="2">
        <v>7000</v>
      </c>
      <c r="D290" s="2">
        <v>200</v>
      </c>
      <c r="E290" s="3">
        <v>1.47196E-3</v>
      </c>
      <c r="F290" s="4">
        <v>282.06218999999999</v>
      </c>
      <c r="G290" s="4">
        <v>281.37416999999999</v>
      </c>
      <c r="H290" s="4">
        <v>280.35639200000003</v>
      </c>
      <c r="I290" t="s">
        <v>25</v>
      </c>
      <c r="J290" s="2">
        <v>0</v>
      </c>
      <c r="K290" s="4">
        <v>281.72043000000002</v>
      </c>
      <c r="L290" s="4">
        <v>281.66035499999998</v>
      </c>
      <c r="M290" t="s">
        <v>25</v>
      </c>
      <c r="N290" s="2">
        <v>0</v>
      </c>
      <c r="O290" s="4">
        <v>281.72043000000002</v>
      </c>
      <c r="P290" s="4">
        <v>281.52189499999997</v>
      </c>
      <c r="Q290" t="s">
        <v>25</v>
      </c>
      <c r="R290" s="2">
        <v>0</v>
      </c>
      <c r="S290" s="4">
        <v>224.53167999999999</v>
      </c>
      <c r="T290" s="4">
        <v>209.42216099999999</v>
      </c>
      <c r="U290" t="s">
        <v>25</v>
      </c>
      <c r="V290" s="6">
        <v>0</v>
      </c>
    </row>
    <row r="291" spans="1:22" x14ac:dyDescent="0.3">
      <c r="A291" t="s">
        <v>289</v>
      </c>
      <c r="B291" t="s">
        <v>297</v>
      </c>
      <c r="C291" s="2">
        <v>7000</v>
      </c>
      <c r="D291" s="2">
        <v>300</v>
      </c>
      <c r="E291" s="3">
        <v>1.47196E-3</v>
      </c>
      <c r="F291" s="4">
        <v>388.36351000000002</v>
      </c>
      <c r="G291" s="4">
        <v>387.71555999999998</v>
      </c>
      <c r="H291" s="4">
        <v>386.43134099999997</v>
      </c>
      <c r="I291" t="s">
        <v>25</v>
      </c>
      <c r="J291" s="2">
        <v>0</v>
      </c>
      <c r="K291" s="4">
        <v>388.08981999999997</v>
      </c>
      <c r="L291" s="4">
        <v>387.86515400000002</v>
      </c>
      <c r="M291" t="s">
        <v>25</v>
      </c>
      <c r="N291" s="2">
        <v>0</v>
      </c>
      <c r="O291" s="4">
        <v>388.11849000000001</v>
      </c>
      <c r="P291" s="4">
        <v>387.87522799999999</v>
      </c>
      <c r="Q291" t="s">
        <v>25</v>
      </c>
      <c r="R291" s="2">
        <v>0</v>
      </c>
      <c r="S291" s="4">
        <v>296.53474</v>
      </c>
      <c r="T291" s="4">
        <v>276.82279899999997</v>
      </c>
      <c r="U291" t="s">
        <v>25</v>
      </c>
      <c r="V291" s="6">
        <v>0</v>
      </c>
    </row>
    <row r="292" spans="1:22" x14ac:dyDescent="0.3">
      <c r="A292" t="s">
        <v>289</v>
      </c>
      <c r="B292" t="s">
        <v>298</v>
      </c>
      <c r="C292" s="2">
        <v>7000</v>
      </c>
      <c r="D292" s="2">
        <v>400</v>
      </c>
      <c r="E292" s="3">
        <v>1.47196E-3</v>
      </c>
      <c r="F292" s="4">
        <v>483.96174999999999</v>
      </c>
      <c r="G292" s="4">
        <v>483.24203</v>
      </c>
      <c r="H292" s="4">
        <v>481.74475000000001</v>
      </c>
      <c r="I292" t="s">
        <v>25</v>
      </c>
      <c r="J292" s="2">
        <v>0</v>
      </c>
      <c r="K292" s="4">
        <v>483.67516999999998</v>
      </c>
      <c r="L292" s="4">
        <v>483.11466200000001</v>
      </c>
      <c r="M292" t="s">
        <v>25</v>
      </c>
      <c r="N292" s="2">
        <v>0</v>
      </c>
      <c r="O292" s="4">
        <v>483.71255000000002</v>
      </c>
      <c r="P292" s="4">
        <v>483.30008099999998</v>
      </c>
      <c r="Q292" t="s">
        <v>25</v>
      </c>
      <c r="R292" s="2">
        <v>0</v>
      </c>
      <c r="S292" s="4">
        <v>371.41307999999998</v>
      </c>
      <c r="T292" s="4">
        <v>338.54934300000002</v>
      </c>
      <c r="U292" t="s">
        <v>25</v>
      </c>
      <c r="V292" s="6">
        <v>0</v>
      </c>
    </row>
    <row r="293" spans="1:22" x14ac:dyDescent="0.3">
      <c r="A293" t="s">
        <v>289</v>
      </c>
      <c r="B293" t="s">
        <v>299</v>
      </c>
      <c r="C293" s="2">
        <v>7000</v>
      </c>
      <c r="D293" s="2">
        <v>500</v>
      </c>
      <c r="E293" s="3">
        <v>1.47196E-3</v>
      </c>
      <c r="F293" s="4">
        <v>572.51418999999999</v>
      </c>
      <c r="G293" s="4">
        <v>570.98126999999999</v>
      </c>
      <c r="H293" s="4">
        <v>569.48395900000003</v>
      </c>
      <c r="I293" t="s">
        <v>25</v>
      </c>
      <c r="J293" s="2">
        <v>0</v>
      </c>
      <c r="K293" s="4">
        <v>572.05399999999997</v>
      </c>
      <c r="L293" s="4">
        <v>571.55832899999996</v>
      </c>
      <c r="M293" t="s">
        <v>25</v>
      </c>
      <c r="N293" s="2">
        <v>0</v>
      </c>
      <c r="O293" s="4">
        <v>572.32583</v>
      </c>
      <c r="P293" s="4">
        <v>571.70062700000005</v>
      </c>
      <c r="Q293" t="s">
        <v>25</v>
      </c>
      <c r="R293" s="2">
        <v>0</v>
      </c>
      <c r="S293" s="4">
        <v>430.46660000000003</v>
      </c>
      <c r="T293" s="4">
        <v>396.43179600000002</v>
      </c>
      <c r="U293" t="s">
        <v>25</v>
      </c>
      <c r="V293" s="6">
        <v>0</v>
      </c>
    </row>
    <row r="294" spans="1:22" x14ac:dyDescent="0.3">
      <c r="A294" t="s">
        <v>289</v>
      </c>
      <c r="B294" t="s">
        <v>300</v>
      </c>
      <c r="C294" s="2">
        <v>7000</v>
      </c>
      <c r="D294" s="2">
        <v>100</v>
      </c>
      <c r="E294" s="3">
        <v>1.4577300000000002E-3</v>
      </c>
      <c r="F294" s="4">
        <v>156.42930999999999</v>
      </c>
      <c r="G294" s="4">
        <v>156.42930999999999</v>
      </c>
      <c r="H294" s="4">
        <v>155.82200399999999</v>
      </c>
      <c r="I294" s="4">
        <v>36.890894000000003</v>
      </c>
      <c r="J294" s="2">
        <v>3</v>
      </c>
      <c r="K294" s="4">
        <v>156.42930999999999</v>
      </c>
      <c r="L294" s="4">
        <v>156.42930999999999</v>
      </c>
      <c r="M294" s="4">
        <v>13.876125</v>
      </c>
      <c r="N294" s="2">
        <v>10</v>
      </c>
      <c r="O294" s="4">
        <v>156.42930999999999</v>
      </c>
      <c r="P294" s="4">
        <v>156.42930999999999</v>
      </c>
      <c r="Q294" s="4">
        <v>21.868867999999999</v>
      </c>
      <c r="R294" s="2">
        <v>10</v>
      </c>
      <c r="S294" s="4">
        <v>120.04868</v>
      </c>
      <c r="T294" s="4">
        <v>114.559577</v>
      </c>
      <c r="U294" t="s">
        <v>25</v>
      </c>
      <c r="V294" s="6">
        <v>0</v>
      </c>
    </row>
    <row r="295" spans="1:22" x14ac:dyDescent="0.3">
      <c r="A295" t="s">
        <v>289</v>
      </c>
      <c r="B295" t="s">
        <v>301</v>
      </c>
      <c r="C295" s="2">
        <v>7000</v>
      </c>
      <c r="D295" s="2">
        <v>200</v>
      </c>
      <c r="E295" s="3">
        <v>1.4577300000000002E-3</v>
      </c>
      <c r="F295" s="4">
        <v>266.12285000000003</v>
      </c>
      <c r="G295" s="4">
        <v>265.66408000000001</v>
      </c>
      <c r="H295" s="4">
        <v>264.58945699999998</v>
      </c>
      <c r="I295" t="s">
        <v>25</v>
      </c>
      <c r="J295" s="2">
        <v>0</v>
      </c>
      <c r="K295" s="4">
        <v>266.12285000000003</v>
      </c>
      <c r="L295" s="4">
        <v>265.99811199999999</v>
      </c>
      <c r="M295" s="4">
        <v>326.68386700000002</v>
      </c>
      <c r="N295" s="2">
        <v>3</v>
      </c>
      <c r="O295" s="4">
        <v>266.12285000000003</v>
      </c>
      <c r="P295" s="4">
        <v>266.10909199999998</v>
      </c>
      <c r="Q295" s="4">
        <v>207.98800399999999</v>
      </c>
      <c r="R295" s="2">
        <v>4</v>
      </c>
      <c r="S295" s="4">
        <v>209.36237</v>
      </c>
      <c r="T295" s="4">
        <v>187.47612000000001</v>
      </c>
      <c r="U295" t="s">
        <v>25</v>
      </c>
      <c r="V295" s="6">
        <v>0</v>
      </c>
    </row>
    <row r="296" spans="1:22" x14ac:dyDescent="0.3">
      <c r="A296" t="s">
        <v>289</v>
      </c>
      <c r="B296" t="s">
        <v>302</v>
      </c>
      <c r="C296" s="2">
        <v>7000</v>
      </c>
      <c r="D296" s="2">
        <v>300</v>
      </c>
      <c r="E296" s="3">
        <v>1.4577300000000002E-3</v>
      </c>
      <c r="F296" s="4">
        <v>361.99662999999998</v>
      </c>
      <c r="G296" s="4">
        <v>361.10433</v>
      </c>
      <c r="H296" s="4">
        <v>360.141188</v>
      </c>
      <c r="I296" t="s">
        <v>25</v>
      </c>
      <c r="J296" s="2">
        <v>0</v>
      </c>
      <c r="K296" s="4">
        <v>361.78496999999999</v>
      </c>
      <c r="L296" s="4">
        <v>361.37358899999998</v>
      </c>
      <c r="M296" t="s">
        <v>25</v>
      </c>
      <c r="N296" s="2">
        <v>0</v>
      </c>
      <c r="O296" s="4">
        <v>361.99662999999998</v>
      </c>
      <c r="P296" s="4">
        <v>361.76219800000001</v>
      </c>
      <c r="Q296" s="4">
        <v>230.66727299999999</v>
      </c>
      <c r="R296" s="2">
        <v>4</v>
      </c>
      <c r="S296" s="4">
        <v>275.60055</v>
      </c>
      <c r="T296" s="4">
        <v>237.537599</v>
      </c>
      <c r="U296" t="s">
        <v>25</v>
      </c>
      <c r="V296" s="6">
        <v>0</v>
      </c>
    </row>
    <row r="297" spans="1:22" x14ac:dyDescent="0.3">
      <c r="A297" t="s">
        <v>289</v>
      </c>
      <c r="B297" t="s">
        <v>303</v>
      </c>
      <c r="C297" s="2">
        <v>7000</v>
      </c>
      <c r="D297" s="2">
        <v>400</v>
      </c>
      <c r="E297" s="3">
        <v>1.4577300000000002E-3</v>
      </c>
      <c r="F297" s="4">
        <v>446.8252</v>
      </c>
      <c r="G297" s="4">
        <v>445.02872000000002</v>
      </c>
      <c r="H297" s="4">
        <v>444.06964799999997</v>
      </c>
      <c r="I297" t="s">
        <v>25</v>
      </c>
      <c r="J297" s="2">
        <v>0</v>
      </c>
      <c r="K297" s="4">
        <v>446.52568000000002</v>
      </c>
      <c r="L297" s="4">
        <v>445.98875199999998</v>
      </c>
      <c r="M297" t="s">
        <v>25</v>
      </c>
      <c r="N297" s="2">
        <v>0</v>
      </c>
      <c r="O297" s="4">
        <v>446.65798000000001</v>
      </c>
      <c r="P297" s="4">
        <v>446.43178999999998</v>
      </c>
      <c r="Q297" t="s">
        <v>25</v>
      </c>
      <c r="R297" s="2">
        <v>0</v>
      </c>
      <c r="S297" s="4">
        <v>312.82175000000001</v>
      </c>
      <c r="T297" s="4">
        <v>292.63775700000002</v>
      </c>
      <c r="U297" t="s">
        <v>25</v>
      </c>
      <c r="V297" s="6">
        <v>0</v>
      </c>
    </row>
    <row r="298" spans="1:22" x14ac:dyDescent="0.3">
      <c r="A298" t="s">
        <v>289</v>
      </c>
      <c r="B298" t="s">
        <v>304</v>
      </c>
      <c r="C298" s="2">
        <v>7000</v>
      </c>
      <c r="D298" s="2">
        <v>500</v>
      </c>
      <c r="E298" s="3">
        <v>1.4577300000000002E-3</v>
      </c>
      <c r="F298" s="4">
        <v>523.84563000000003</v>
      </c>
      <c r="G298" s="4">
        <v>522.07560000000001</v>
      </c>
      <c r="H298" s="4">
        <v>521.39590999999996</v>
      </c>
      <c r="I298" t="s">
        <v>25</v>
      </c>
      <c r="J298" s="2">
        <v>0</v>
      </c>
      <c r="K298" s="4">
        <v>523.09464000000003</v>
      </c>
      <c r="L298" s="4">
        <v>522.50422400000002</v>
      </c>
      <c r="M298" t="s">
        <v>25</v>
      </c>
      <c r="N298" s="2">
        <v>0</v>
      </c>
      <c r="O298" s="4">
        <v>523.03787</v>
      </c>
      <c r="P298" s="4">
        <v>522.76132199999995</v>
      </c>
      <c r="Q298" t="s">
        <v>25</v>
      </c>
      <c r="R298" s="2">
        <v>0</v>
      </c>
      <c r="S298" s="4">
        <v>382.04212000000001</v>
      </c>
      <c r="T298" s="4">
        <v>349.42301300000003</v>
      </c>
      <c r="U298" t="s">
        <v>25</v>
      </c>
      <c r="V298" s="6">
        <v>0</v>
      </c>
    </row>
    <row r="299" spans="1:22" x14ac:dyDescent="0.3">
      <c r="A299" t="s">
        <v>289</v>
      </c>
      <c r="B299" t="s">
        <v>305</v>
      </c>
      <c r="C299" s="2">
        <v>7000</v>
      </c>
      <c r="D299" s="2">
        <v>100</v>
      </c>
      <c r="E299" s="3">
        <v>1.43808E-3</v>
      </c>
      <c r="F299" s="4">
        <v>129.36341999999999</v>
      </c>
      <c r="G299" s="4">
        <v>128.55992000000001</v>
      </c>
      <c r="H299" s="4">
        <v>128.17299600000001</v>
      </c>
      <c r="I299" t="s">
        <v>25</v>
      </c>
      <c r="J299" s="2">
        <v>0</v>
      </c>
      <c r="K299" s="4">
        <v>128.98062999999999</v>
      </c>
      <c r="L299" s="4">
        <v>128.855615</v>
      </c>
      <c r="M299" t="s">
        <v>25</v>
      </c>
      <c r="N299" s="2">
        <v>0</v>
      </c>
      <c r="O299" s="4">
        <v>128.98062999999999</v>
      </c>
      <c r="P299" s="4">
        <v>128.91627800000001</v>
      </c>
      <c r="Q299" t="s">
        <v>25</v>
      </c>
      <c r="R299" s="2">
        <v>0</v>
      </c>
      <c r="S299" s="4">
        <v>108.49341</v>
      </c>
      <c r="T299" s="4">
        <v>105.010237</v>
      </c>
      <c r="U299" t="s">
        <v>25</v>
      </c>
      <c r="V299" s="6">
        <v>0</v>
      </c>
    </row>
    <row r="300" spans="1:22" x14ac:dyDescent="0.3">
      <c r="A300" t="s">
        <v>289</v>
      </c>
      <c r="B300" t="s">
        <v>306</v>
      </c>
      <c r="C300" s="2">
        <v>7000</v>
      </c>
      <c r="D300" s="2">
        <v>200</v>
      </c>
      <c r="E300" s="3">
        <v>1.43808E-3</v>
      </c>
      <c r="F300" s="4">
        <v>238.34729999999999</v>
      </c>
      <c r="G300" s="4">
        <v>238.0051</v>
      </c>
      <c r="H300" s="4">
        <v>237.039965</v>
      </c>
      <c r="I300" t="s">
        <v>25</v>
      </c>
      <c r="J300" s="2">
        <v>0</v>
      </c>
      <c r="K300" s="4">
        <v>238.34729999999999</v>
      </c>
      <c r="L300" s="4">
        <v>237.93873400000001</v>
      </c>
      <c r="M300" s="4">
        <v>253.516974</v>
      </c>
      <c r="N300" s="2">
        <v>4</v>
      </c>
      <c r="O300" s="4">
        <v>238.34729999999999</v>
      </c>
      <c r="P300" s="4">
        <v>238.276904</v>
      </c>
      <c r="Q300" s="4">
        <v>154.768868</v>
      </c>
      <c r="R300" s="2">
        <v>6</v>
      </c>
      <c r="S300" s="4">
        <v>197.61309</v>
      </c>
      <c r="T300" s="4">
        <v>186.462909</v>
      </c>
      <c r="U300" t="s">
        <v>25</v>
      </c>
      <c r="V300" s="6">
        <v>0</v>
      </c>
    </row>
    <row r="301" spans="1:22" x14ac:dyDescent="0.3">
      <c r="A301" t="s">
        <v>289</v>
      </c>
      <c r="B301" t="s">
        <v>307</v>
      </c>
      <c r="C301" s="2">
        <v>7000</v>
      </c>
      <c r="D301" s="2">
        <v>300</v>
      </c>
      <c r="E301" s="3">
        <v>1.43808E-3</v>
      </c>
      <c r="F301" s="4">
        <v>337.32862</v>
      </c>
      <c r="G301" s="4">
        <v>335.86198000000002</v>
      </c>
      <c r="H301" s="4">
        <v>334.80680899999999</v>
      </c>
      <c r="I301" t="s">
        <v>25</v>
      </c>
      <c r="J301" s="2">
        <v>0</v>
      </c>
      <c r="K301" s="4">
        <v>336.93103000000002</v>
      </c>
      <c r="L301" s="4">
        <v>336.27282100000002</v>
      </c>
      <c r="M301" t="s">
        <v>25</v>
      </c>
      <c r="N301" s="2">
        <v>0</v>
      </c>
      <c r="O301" s="4">
        <v>337.03320000000002</v>
      </c>
      <c r="P301" s="4">
        <v>336.42332499999998</v>
      </c>
      <c r="Q301" t="s">
        <v>25</v>
      </c>
      <c r="R301" s="2">
        <v>0</v>
      </c>
      <c r="S301" s="4">
        <v>257.46114</v>
      </c>
      <c r="T301" s="4">
        <v>236.40167700000001</v>
      </c>
      <c r="U301" t="s">
        <v>25</v>
      </c>
      <c r="V301" s="6">
        <v>0</v>
      </c>
    </row>
    <row r="302" spans="1:22" x14ac:dyDescent="0.3">
      <c r="A302" t="s">
        <v>289</v>
      </c>
      <c r="B302" t="s">
        <v>308</v>
      </c>
      <c r="C302" s="2">
        <v>7000</v>
      </c>
      <c r="D302" s="2">
        <v>400</v>
      </c>
      <c r="E302" s="3">
        <v>1.43808E-3</v>
      </c>
      <c r="F302" s="4">
        <v>428.81319999999999</v>
      </c>
      <c r="G302" s="4">
        <v>427.56076000000002</v>
      </c>
      <c r="H302" s="4">
        <v>426.39157999999998</v>
      </c>
      <c r="I302" t="s">
        <v>25</v>
      </c>
      <c r="J302" s="2">
        <v>0</v>
      </c>
      <c r="K302" s="4">
        <v>428.80497000000003</v>
      </c>
      <c r="L302" s="4">
        <v>428.36239799999998</v>
      </c>
      <c r="M302" t="s">
        <v>25</v>
      </c>
      <c r="N302" s="2">
        <v>0</v>
      </c>
      <c r="O302" s="4">
        <v>428.80497000000003</v>
      </c>
      <c r="P302" s="4">
        <v>428.49546700000002</v>
      </c>
      <c r="Q302" t="s">
        <v>25</v>
      </c>
      <c r="R302" s="2">
        <v>0</v>
      </c>
      <c r="S302" s="4">
        <v>319.44076999999999</v>
      </c>
      <c r="T302" s="4">
        <v>293.73598800000002</v>
      </c>
      <c r="U302" t="s">
        <v>25</v>
      </c>
      <c r="V302" s="6">
        <v>0</v>
      </c>
    </row>
    <row r="303" spans="1:22" x14ac:dyDescent="0.3">
      <c r="A303" t="s">
        <v>289</v>
      </c>
      <c r="B303" t="s">
        <v>309</v>
      </c>
      <c r="C303" s="2">
        <v>7000</v>
      </c>
      <c r="D303" s="2">
        <v>500</v>
      </c>
      <c r="E303" s="3">
        <v>1.43808E-3</v>
      </c>
      <c r="F303" s="4">
        <v>511.22753</v>
      </c>
      <c r="G303" s="4">
        <v>510.45807000000002</v>
      </c>
      <c r="H303" s="4">
        <v>509.30604299999999</v>
      </c>
      <c r="I303" t="s">
        <v>25</v>
      </c>
      <c r="J303" s="2">
        <v>0</v>
      </c>
      <c r="K303" s="4">
        <v>510.99635000000001</v>
      </c>
      <c r="L303" s="4">
        <v>510.50933800000001</v>
      </c>
      <c r="M303" t="s">
        <v>25</v>
      </c>
      <c r="N303" s="2">
        <v>0</v>
      </c>
      <c r="O303" s="4">
        <v>511.00344999999999</v>
      </c>
      <c r="P303" s="4">
        <v>510.70845800000001</v>
      </c>
      <c r="Q303" t="s">
        <v>25</v>
      </c>
      <c r="R303" s="2">
        <v>0</v>
      </c>
      <c r="S303" s="4">
        <v>368.71368000000001</v>
      </c>
      <c r="T303" s="4">
        <v>351.34068100000002</v>
      </c>
      <c r="U303" t="s">
        <v>25</v>
      </c>
      <c r="V303" s="6">
        <v>0</v>
      </c>
    </row>
    <row r="304" spans="1:22" x14ac:dyDescent="0.3">
      <c r="A304" t="s">
        <v>289</v>
      </c>
      <c r="B304" t="s">
        <v>310</v>
      </c>
      <c r="C304" s="2">
        <v>7000</v>
      </c>
      <c r="D304" s="2">
        <v>100</v>
      </c>
      <c r="E304" s="3">
        <v>1.5468599999999999E-3</v>
      </c>
      <c r="F304" s="4">
        <v>147.21297999999999</v>
      </c>
      <c r="G304" s="4">
        <v>147.21297999999999</v>
      </c>
      <c r="H304" s="4">
        <v>147.01545899999999</v>
      </c>
      <c r="I304" s="4">
        <v>104.05129100000001</v>
      </c>
      <c r="J304" s="2">
        <v>2</v>
      </c>
      <c r="K304" s="4">
        <v>147.21297999999999</v>
      </c>
      <c r="L304" s="4">
        <v>147.21297999999999</v>
      </c>
      <c r="M304" s="4">
        <v>161.56530000000001</v>
      </c>
      <c r="N304" s="2">
        <v>10</v>
      </c>
      <c r="O304" s="4">
        <v>147.21297999999999</v>
      </c>
      <c r="P304" s="4">
        <v>147.21297999999999</v>
      </c>
      <c r="Q304" s="4">
        <v>68.543987000000001</v>
      </c>
      <c r="R304" s="2">
        <v>10</v>
      </c>
      <c r="S304" s="4">
        <v>128.25140999999999</v>
      </c>
      <c r="T304" s="4">
        <v>122.860454</v>
      </c>
      <c r="U304" t="s">
        <v>25</v>
      </c>
      <c r="V304" s="6">
        <v>0</v>
      </c>
    </row>
    <row r="305" spans="1:22" x14ac:dyDescent="0.3">
      <c r="A305" t="s">
        <v>289</v>
      </c>
      <c r="B305" t="s">
        <v>311</v>
      </c>
      <c r="C305" s="2">
        <v>7000</v>
      </c>
      <c r="D305" s="2">
        <v>200</v>
      </c>
      <c r="E305" s="3">
        <v>1.5468599999999999E-3</v>
      </c>
      <c r="F305" s="4">
        <v>256.88351</v>
      </c>
      <c r="G305" s="4">
        <v>256.52989000000002</v>
      </c>
      <c r="H305" s="4">
        <v>255.870023</v>
      </c>
      <c r="I305" t="s">
        <v>25</v>
      </c>
      <c r="J305" s="2">
        <v>0</v>
      </c>
      <c r="K305" s="4">
        <v>256.86662000000001</v>
      </c>
      <c r="L305" s="4">
        <v>256.68842999999998</v>
      </c>
      <c r="M305" t="s">
        <v>25</v>
      </c>
      <c r="N305" s="2">
        <v>0</v>
      </c>
      <c r="O305" s="4">
        <v>256.86662000000001</v>
      </c>
      <c r="P305" s="4">
        <v>256.74395800000002</v>
      </c>
      <c r="Q305" t="s">
        <v>25</v>
      </c>
      <c r="R305" s="2">
        <v>0</v>
      </c>
      <c r="S305" s="4">
        <v>214.86417</v>
      </c>
      <c r="T305" s="4">
        <v>192.906916</v>
      </c>
      <c r="U305" t="s">
        <v>25</v>
      </c>
      <c r="V305" s="6">
        <v>0</v>
      </c>
    </row>
    <row r="306" spans="1:22" x14ac:dyDescent="0.3">
      <c r="A306" t="s">
        <v>289</v>
      </c>
      <c r="B306" t="s">
        <v>312</v>
      </c>
      <c r="C306" s="2">
        <v>7000</v>
      </c>
      <c r="D306" s="2">
        <v>300</v>
      </c>
      <c r="E306" s="3">
        <v>1.5468599999999999E-3</v>
      </c>
      <c r="F306" s="4">
        <v>351.50053000000003</v>
      </c>
      <c r="G306" s="4">
        <v>350.77890000000002</v>
      </c>
      <c r="H306" s="4">
        <v>349.21526799999998</v>
      </c>
      <c r="I306" t="s">
        <v>25</v>
      </c>
      <c r="J306" s="2">
        <v>0</v>
      </c>
      <c r="K306" s="4">
        <v>351.50053000000003</v>
      </c>
      <c r="L306" s="4">
        <v>350.87905999999998</v>
      </c>
      <c r="M306" s="4">
        <v>232.62594899999999</v>
      </c>
      <c r="N306" s="2">
        <v>1</v>
      </c>
      <c r="O306" s="4">
        <v>351.46634999999998</v>
      </c>
      <c r="P306" s="4">
        <v>351.21002499999997</v>
      </c>
      <c r="Q306" t="s">
        <v>25</v>
      </c>
      <c r="R306" s="2">
        <v>0</v>
      </c>
      <c r="S306" s="4">
        <v>274.57738000000001</v>
      </c>
      <c r="T306" s="4">
        <v>245.685284</v>
      </c>
      <c r="U306" t="s">
        <v>25</v>
      </c>
      <c r="V306" s="6">
        <v>0</v>
      </c>
    </row>
    <row r="307" spans="1:22" x14ac:dyDescent="0.3">
      <c r="A307" t="s">
        <v>289</v>
      </c>
      <c r="B307" t="s">
        <v>313</v>
      </c>
      <c r="C307" s="2">
        <v>7000</v>
      </c>
      <c r="D307" s="2">
        <v>400</v>
      </c>
      <c r="E307" s="3">
        <v>1.5468599999999999E-3</v>
      </c>
      <c r="F307" s="4">
        <v>438.72872999999998</v>
      </c>
      <c r="G307" s="4">
        <v>436.59760999999997</v>
      </c>
      <c r="H307" s="4">
        <v>435.54034799999999</v>
      </c>
      <c r="I307" t="s">
        <v>25</v>
      </c>
      <c r="J307" s="2">
        <v>0</v>
      </c>
      <c r="K307" s="4">
        <v>438.5127</v>
      </c>
      <c r="L307" s="4">
        <v>437.79532599999999</v>
      </c>
      <c r="M307" t="s">
        <v>25</v>
      </c>
      <c r="N307" s="2">
        <v>0</v>
      </c>
      <c r="O307" s="4">
        <v>438.42214000000001</v>
      </c>
      <c r="P307" s="4">
        <v>437.80004000000002</v>
      </c>
      <c r="Q307" t="s">
        <v>25</v>
      </c>
      <c r="R307" s="2">
        <v>0</v>
      </c>
      <c r="S307" s="4">
        <v>333.73032000000001</v>
      </c>
      <c r="T307" s="4">
        <v>307.836409</v>
      </c>
      <c r="U307" t="s">
        <v>25</v>
      </c>
      <c r="V307" s="6">
        <v>0</v>
      </c>
    </row>
    <row r="308" spans="1:22" x14ac:dyDescent="0.3">
      <c r="A308" t="s">
        <v>289</v>
      </c>
      <c r="B308" t="s">
        <v>314</v>
      </c>
      <c r="C308" s="2">
        <v>7000</v>
      </c>
      <c r="D308" s="2">
        <v>500</v>
      </c>
      <c r="E308" s="3">
        <v>1.5468599999999999E-3</v>
      </c>
      <c r="F308" s="4">
        <v>520.36280999999997</v>
      </c>
      <c r="G308" s="4">
        <v>518.24177999999995</v>
      </c>
      <c r="H308" s="4">
        <v>516.46327499999995</v>
      </c>
      <c r="I308" t="s">
        <v>25</v>
      </c>
      <c r="J308" s="2">
        <v>0</v>
      </c>
      <c r="K308" s="4">
        <v>520.14066000000003</v>
      </c>
      <c r="L308" s="4">
        <v>519.58640300000002</v>
      </c>
      <c r="M308" t="s">
        <v>25</v>
      </c>
      <c r="N308" s="2">
        <v>0</v>
      </c>
      <c r="O308" s="4">
        <v>520.04364999999996</v>
      </c>
      <c r="P308" s="4">
        <v>519.62929999999994</v>
      </c>
      <c r="Q308" t="s">
        <v>25</v>
      </c>
      <c r="R308" s="2">
        <v>0</v>
      </c>
      <c r="S308" s="4">
        <v>385.45907</v>
      </c>
      <c r="T308" s="4">
        <v>354.58787100000001</v>
      </c>
      <c r="U308" t="s">
        <v>25</v>
      </c>
      <c r="V308" s="6">
        <v>0</v>
      </c>
    </row>
    <row r="309" spans="1:22" x14ac:dyDescent="0.3">
      <c r="A309" t="s">
        <v>289</v>
      </c>
      <c r="B309" t="s">
        <v>315</v>
      </c>
      <c r="C309" s="2">
        <v>7000</v>
      </c>
      <c r="D309" s="2">
        <v>100</v>
      </c>
      <c r="E309" s="3">
        <v>1.4316699999999999E-3</v>
      </c>
      <c r="F309" s="4">
        <v>140.00452999999999</v>
      </c>
      <c r="G309" s="4">
        <v>140.00452999999999</v>
      </c>
      <c r="H309" s="4">
        <v>139.53435200000001</v>
      </c>
      <c r="I309" s="4">
        <v>519.59229400000004</v>
      </c>
      <c r="J309" s="2">
        <v>1</v>
      </c>
      <c r="K309" s="4">
        <v>140.00452999999999</v>
      </c>
      <c r="L309" s="4">
        <v>140.00050400000001</v>
      </c>
      <c r="M309" s="4">
        <v>33.986598999999998</v>
      </c>
      <c r="N309" s="2">
        <v>7</v>
      </c>
      <c r="O309" s="4">
        <v>140.00452999999999</v>
      </c>
      <c r="P309" s="4">
        <v>140.001846</v>
      </c>
      <c r="Q309" s="4">
        <v>147.73479399999999</v>
      </c>
      <c r="R309" s="2">
        <v>8</v>
      </c>
      <c r="S309" s="4">
        <v>112.39785999999999</v>
      </c>
      <c r="T309" s="4">
        <v>105.590053</v>
      </c>
      <c r="U309" t="s">
        <v>25</v>
      </c>
      <c r="V309" s="6">
        <v>0</v>
      </c>
    </row>
    <row r="310" spans="1:22" x14ac:dyDescent="0.3">
      <c r="A310" t="s">
        <v>289</v>
      </c>
      <c r="B310" t="s">
        <v>316</v>
      </c>
      <c r="C310" s="2">
        <v>7000</v>
      </c>
      <c r="D310" s="2">
        <v>200</v>
      </c>
      <c r="E310" s="3">
        <v>1.4316699999999999E-3</v>
      </c>
      <c r="F310" s="4">
        <v>247.84585000000001</v>
      </c>
      <c r="G310" s="4">
        <v>247.49852000000001</v>
      </c>
      <c r="H310" s="4">
        <v>247.017281</v>
      </c>
      <c r="I310" t="s">
        <v>25</v>
      </c>
      <c r="J310" s="2">
        <v>0</v>
      </c>
      <c r="K310" s="4">
        <v>247.84585000000001</v>
      </c>
      <c r="L310" s="4">
        <v>247.71554900000001</v>
      </c>
      <c r="M310" s="4">
        <v>65.045210999999995</v>
      </c>
      <c r="N310" s="2">
        <v>2</v>
      </c>
      <c r="O310" s="4">
        <v>247.84585000000001</v>
      </c>
      <c r="P310" s="4">
        <v>247.760502</v>
      </c>
      <c r="Q310" s="4">
        <v>48.095502000000003</v>
      </c>
      <c r="R310" s="2">
        <v>2</v>
      </c>
      <c r="S310" s="4">
        <v>195.61097000000001</v>
      </c>
      <c r="T310" s="4">
        <v>175.693636</v>
      </c>
      <c r="U310" t="s">
        <v>25</v>
      </c>
      <c r="V310" s="6">
        <v>0</v>
      </c>
    </row>
    <row r="311" spans="1:22" x14ac:dyDescent="0.3">
      <c r="A311" t="s">
        <v>289</v>
      </c>
      <c r="B311" t="s">
        <v>317</v>
      </c>
      <c r="C311" s="2">
        <v>7000</v>
      </c>
      <c r="D311" s="2">
        <v>300</v>
      </c>
      <c r="E311" s="3">
        <v>1.4316699999999999E-3</v>
      </c>
      <c r="F311" s="4">
        <v>338.79363000000001</v>
      </c>
      <c r="G311" s="4">
        <v>337.81238999999999</v>
      </c>
      <c r="H311" s="4">
        <v>337.03196200000002</v>
      </c>
      <c r="I311" t="s">
        <v>25</v>
      </c>
      <c r="J311" s="2">
        <v>0</v>
      </c>
      <c r="K311" s="4">
        <v>338.79363000000001</v>
      </c>
      <c r="L311" s="4">
        <v>338.12767300000002</v>
      </c>
      <c r="M311" s="4">
        <v>361.76022399999999</v>
      </c>
      <c r="N311" s="2">
        <v>1</v>
      </c>
      <c r="O311" s="4">
        <v>338.79363000000001</v>
      </c>
      <c r="P311" s="4">
        <v>338.49673999999999</v>
      </c>
      <c r="Q311" s="4">
        <v>133.56080900000001</v>
      </c>
      <c r="R311" s="2">
        <v>1</v>
      </c>
      <c r="S311" s="4">
        <v>259.48081999999999</v>
      </c>
      <c r="T311" s="4">
        <v>232.73436899999999</v>
      </c>
      <c r="U311" t="s">
        <v>25</v>
      </c>
      <c r="V311" s="6">
        <v>0</v>
      </c>
    </row>
    <row r="312" spans="1:22" x14ac:dyDescent="0.3">
      <c r="A312" t="s">
        <v>289</v>
      </c>
      <c r="B312" t="s">
        <v>318</v>
      </c>
      <c r="C312" s="2">
        <v>7000</v>
      </c>
      <c r="D312" s="2">
        <v>400</v>
      </c>
      <c r="E312" s="3">
        <v>1.4316699999999999E-3</v>
      </c>
      <c r="F312" s="4">
        <v>419.41752000000002</v>
      </c>
      <c r="G312" s="4">
        <v>418.15208999999999</v>
      </c>
      <c r="H312" s="4">
        <v>416.67088999999999</v>
      </c>
      <c r="I312" t="s">
        <v>25</v>
      </c>
      <c r="J312" s="2">
        <v>0</v>
      </c>
      <c r="K312" s="4">
        <v>418.8263</v>
      </c>
      <c r="L312" s="4">
        <v>418.218705</v>
      </c>
      <c r="M312" t="s">
        <v>25</v>
      </c>
      <c r="N312" s="2">
        <v>0</v>
      </c>
      <c r="O312" s="4">
        <v>419.09967999999998</v>
      </c>
      <c r="P312" s="4">
        <v>418.46855699999998</v>
      </c>
      <c r="Q312" t="s">
        <v>25</v>
      </c>
      <c r="R312" s="2">
        <v>0</v>
      </c>
      <c r="S312" s="4">
        <v>303.69812000000002</v>
      </c>
      <c r="T312" s="4">
        <v>289.127049</v>
      </c>
      <c r="U312" t="s">
        <v>25</v>
      </c>
      <c r="V312" s="6">
        <v>0</v>
      </c>
    </row>
    <row r="313" spans="1:22" x14ac:dyDescent="0.3">
      <c r="A313" t="s">
        <v>289</v>
      </c>
      <c r="B313" t="s">
        <v>319</v>
      </c>
      <c r="C313" s="2">
        <v>7000</v>
      </c>
      <c r="D313" s="2">
        <v>500</v>
      </c>
      <c r="E313" s="3">
        <v>1.4316699999999999E-3</v>
      </c>
      <c r="F313" s="4">
        <v>494.06198999999998</v>
      </c>
      <c r="G313" s="4">
        <v>492.03275000000002</v>
      </c>
      <c r="H313" s="4">
        <v>491.113563</v>
      </c>
      <c r="I313" t="s">
        <v>25</v>
      </c>
      <c r="J313" s="2">
        <v>0</v>
      </c>
      <c r="K313" s="4">
        <v>493.34852999999998</v>
      </c>
      <c r="L313" s="4">
        <v>492.67890899999998</v>
      </c>
      <c r="M313" t="s">
        <v>25</v>
      </c>
      <c r="N313" s="2">
        <v>0</v>
      </c>
      <c r="O313" s="4">
        <v>493.09032999999999</v>
      </c>
      <c r="P313" s="4">
        <v>492.85171200000002</v>
      </c>
      <c r="Q313" t="s">
        <v>25</v>
      </c>
      <c r="R313" s="2">
        <v>0</v>
      </c>
      <c r="S313" s="4">
        <v>361.87702000000002</v>
      </c>
      <c r="T313" s="4">
        <v>339.42904499999997</v>
      </c>
      <c r="U313" t="s">
        <v>25</v>
      </c>
      <c r="V313" s="6">
        <v>0</v>
      </c>
    </row>
    <row r="314" spans="1:22" x14ac:dyDescent="0.3">
      <c r="A314" t="s">
        <v>289</v>
      </c>
      <c r="B314" t="s">
        <v>320</v>
      </c>
      <c r="C314" s="2">
        <v>7000</v>
      </c>
      <c r="D314" s="2">
        <v>100</v>
      </c>
      <c r="E314" s="3">
        <v>1.50373E-3</v>
      </c>
      <c r="F314" s="4">
        <v>161.7431</v>
      </c>
      <c r="G314" s="4">
        <v>161.7431</v>
      </c>
      <c r="H314" s="4">
        <v>161.22958800000001</v>
      </c>
      <c r="I314" s="4">
        <v>337.136371</v>
      </c>
      <c r="J314" s="2">
        <v>5</v>
      </c>
      <c r="K314" s="4">
        <v>161.7431</v>
      </c>
      <c r="L314" s="4">
        <v>161.7431</v>
      </c>
      <c r="M314" s="4">
        <v>12.18024</v>
      </c>
      <c r="N314" s="2">
        <v>10</v>
      </c>
      <c r="O314" s="4">
        <v>161.7431</v>
      </c>
      <c r="P314" s="4">
        <v>161.7431</v>
      </c>
      <c r="Q314" s="4">
        <v>1.92109</v>
      </c>
      <c r="R314" s="2">
        <v>10</v>
      </c>
      <c r="S314" s="4">
        <v>113.51718</v>
      </c>
      <c r="T314" s="4">
        <v>109.023138</v>
      </c>
      <c r="U314" t="s">
        <v>25</v>
      </c>
      <c r="V314" s="6">
        <v>0</v>
      </c>
    </row>
    <row r="315" spans="1:22" x14ac:dyDescent="0.3">
      <c r="A315" t="s">
        <v>289</v>
      </c>
      <c r="B315" t="s">
        <v>321</v>
      </c>
      <c r="C315" s="2">
        <v>7000</v>
      </c>
      <c r="D315" s="2">
        <v>200</v>
      </c>
      <c r="E315" s="3">
        <v>1.50373E-3</v>
      </c>
      <c r="F315" s="4">
        <v>285.37745999999999</v>
      </c>
      <c r="G315" s="4">
        <v>284.59147999999999</v>
      </c>
      <c r="H315" s="4">
        <v>283.98009999999999</v>
      </c>
      <c r="I315" t="s">
        <v>25</v>
      </c>
      <c r="J315" s="2">
        <v>0</v>
      </c>
      <c r="K315" s="4">
        <v>285.37745999999999</v>
      </c>
      <c r="L315" s="4">
        <v>285.11407400000002</v>
      </c>
      <c r="M315" s="4">
        <v>43.669657999999998</v>
      </c>
      <c r="N315" s="2">
        <v>4</v>
      </c>
      <c r="O315" s="4">
        <v>285.37745999999999</v>
      </c>
      <c r="P315" s="4">
        <v>285.31141600000001</v>
      </c>
      <c r="Q315" s="4">
        <v>164.05092200000001</v>
      </c>
      <c r="R315" s="2">
        <v>5</v>
      </c>
      <c r="S315" s="4">
        <v>210.33794</v>
      </c>
      <c r="T315" s="4">
        <v>197.45453900000001</v>
      </c>
      <c r="U315" t="s">
        <v>25</v>
      </c>
      <c r="V315" s="6">
        <v>0</v>
      </c>
    </row>
    <row r="316" spans="1:22" x14ac:dyDescent="0.3">
      <c r="A316" t="s">
        <v>289</v>
      </c>
      <c r="B316" t="s">
        <v>322</v>
      </c>
      <c r="C316" s="2">
        <v>7000</v>
      </c>
      <c r="D316" s="2">
        <v>300</v>
      </c>
      <c r="E316" s="3">
        <v>1.50373E-3</v>
      </c>
      <c r="F316" s="4">
        <v>390.66397000000001</v>
      </c>
      <c r="G316" s="4">
        <v>389.57427000000001</v>
      </c>
      <c r="H316" s="4">
        <v>388.67656799999997</v>
      </c>
      <c r="I316" t="s">
        <v>25</v>
      </c>
      <c r="J316" s="2">
        <v>0</v>
      </c>
      <c r="K316" s="4">
        <v>389.94121000000001</v>
      </c>
      <c r="L316" s="4">
        <v>389.8476</v>
      </c>
      <c r="M316" t="s">
        <v>25</v>
      </c>
      <c r="N316" s="2">
        <v>0</v>
      </c>
      <c r="O316" s="4">
        <v>390.24353000000002</v>
      </c>
      <c r="P316" s="4">
        <v>389.90388300000001</v>
      </c>
      <c r="Q316" t="s">
        <v>25</v>
      </c>
      <c r="R316" s="2">
        <v>0</v>
      </c>
      <c r="S316" s="4">
        <v>279.44434000000001</v>
      </c>
      <c r="T316" s="4">
        <v>259.701369</v>
      </c>
      <c r="U316" t="s">
        <v>25</v>
      </c>
      <c r="V316" s="6">
        <v>0</v>
      </c>
    </row>
    <row r="317" spans="1:22" x14ac:dyDescent="0.3">
      <c r="A317" t="s">
        <v>289</v>
      </c>
      <c r="B317" t="s">
        <v>323</v>
      </c>
      <c r="C317" s="2">
        <v>7000</v>
      </c>
      <c r="D317" s="2">
        <v>400</v>
      </c>
      <c r="E317" s="3">
        <v>1.50373E-3</v>
      </c>
      <c r="F317" s="4">
        <v>485.51931999999999</v>
      </c>
      <c r="G317" s="4">
        <v>483.63375000000002</v>
      </c>
      <c r="H317" s="4">
        <v>482.52351900000002</v>
      </c>
      <c r="I317" t="s">
        <v>25</v>
      </c>
      <c r="J317" s="2">
        <v>0</v>
      </c>
      <c r="K317" s="4">
        <v>484.81101999999998</v>
      </c>
      <c r="L317" s="4">
        <v>484.40439800000001</v>
      </c>
      <c r="M317" t="s">
        <v>25</v>
      </c>
      <c r="N317" s="2">
        <v>0</v>
      </c>
      <c r="O317" s="4">
        <v>484.81101999999998</v>
      </c>
      <c r="P317" s="4">
        <v>484.50690700000001</v>
      </c>
      <c r="Q317" t="s">
        <v>25</v>
      </c>
      <c r="R317" s="2">
        <v>0</v>
      </c>
      <c r="S317" s="4">
        <v>368.08291000000003</v>
      </c>
      <c r="T317" s="4">
        <v>331.235367</v>
      </c>
      <c r="U317" t="s">
        <v>25</v>
      </c>
      <c r="V317" s="6">
        <v>0</v>
      </c>
    </row>
    <row r="318" spans="1:22" x14ac:dyDescent="0.3">
      <c r="A318" t="s">
        <v>289</v>
      </c>
      <c r="B318" t="s">
        <v>324</v>
      </c>
      <c r="C318" s="2">
        <v>7000</v>
      </c>
      <c r="D318" s="2">
        <v>500</v>
      </c>
      <c r="E318" s="3">
        <v>1.50373E-3</v>
      </c>
      <c r="F318" s="4">
        <v>572.19514000000004</v>
      </c>
      <c r="G318" s="4">
        <v>571.46211000000005</v>
      </c>
      <c r="H318" s="4">
        <v>569.34750799999995</v>
      </c>
      <c r="I318" t="s">
        <v>25</v>
      </c>
      <c r="J318" s="2">
        <v>0</v>
      </c>
      <c r="K318" s="4">
        <v>571.59502999999995</v>
      </c>
      <c r="L318" s="4">
        <v>571.08021099999996</v>
      </c>
      <c r="M318" t="s">
        <v>25</v>
      </c>
      <c r="N318" s="2">
        <v>0</v>
      </c>
      <c r="O318" s="4">
        <v>571.54178999999999</v>
      </c>
      <c r="P318" s="4">
        <v>571.19190500000002</v>
      </c>
      <c r="Q318" t="s">
        <v>25</v>
      </c>
      <c r="R318" s="2">
        <v>0</v>
      </c>
      <c r="S318" s="4">
        <v>397.84098999999998</v>
      </c>
      <c r="T318" s="4">
        <v>378.26583799999997</v>
      </c>
      <c r="U318" t="s">
        <v>25</v>
      </c>
      <c r="V318" s="6">
        <v>0</v>
      </c>
    </row>
    <row r="319" spans="1:22" x14ac:dyDescent="0.3">
      <c r="A319" t="s">
        <v>289</v>
      </c>
      <c r="B319" t="s">
        <v>325</v>
      </c>
      <c r="C319" s="2">
        <v>7000</v>
      </c>
      <c r="D319" s="2">
        <v>100</v>
      </c>
      <c r="E319" s="3">
        <v>1.5786300000000001E-3</v>
      </c>
      <c r="F319" s="4">
        <v>147.46025</v>
      </c>
      <c r="G319" s="4">
        <v>147.46025</v>
      </c>
      <c r="H319" s="4">
        <v>147.46025</v>
      </c>
      <c r="I319" s="4">
        <v>189.70954399999999</v>
      </c>
      <c r="J319" s="2">
        <v>10</v>
      </c>
      <c r="K319" s="4">
        <v>147.46025</v>
      </c>
      <c r="L319" s="4">
        <v>147.46025</v>
      </c>
      <c r="M319" s="4">
        <v>13.589923000000001</v>
      </c>
      <c r="N319" s="2">
        <v>10</v>
      </c>
      <c r="O319" s="4">
        <v>147.46025</v>
      </c>
      <c r="P319" s="4">
        <v>147.46025</v>
      </c>
      <c r="Q319" s="4">
        <v>20.282450999999998</v>
      </c>
      <c r="R319" s="2">
        <v>10</v>
      </c>
      <c r="S319" s="4">
        <v>125.77279</v>
      </c>
      <c r="T319" s="4">
        <v>115.02081099999999</v>
      </c>
      <c r="U319" t="s">
        <v>25</v>
      </c>
      <c r="V319" s="6">
        <v>0</v>
      </c>
    </row>
    <row r="320" spans="1:22" x14ac:dyDescent="0.3">
      <c r="A320" t="s">
        <v>289</v>
      </c>
      <c r="B320" t="s">
        <v>326</v>
      </c>
      <c r="C320" s="2">
        <v>7000</v>
      </c>
      <c r="D320" s="2">
        <v>200</v>
      </c>
      <c r="E320" s="3">
        <v>1.5786300000000001E-3</v>
      </c>
      <c r="F320" s="4">
        <v>256.29746</v>
      </c>
      <c r="G320" s="4">
        <v>255.94883999999999</v>
      </c>
      <c r="H320" s="4">
        <v>255.239891</v>
      </c>
      <c r="I320" t="s">
        <v>25</v>
      </c>
      <c r="J320" s="2">
        <v>0</v>
      </c>
      <c r="K320" s="4">
        <v>256.15546000000001</v>
      </c>
      <c r="L320" s="4">
        <v>255.983014</v>
      </c>
      <c r="M320" t="s">
        <v>25</v>
      </c>
      <c r="N320" s="2">
        <v>0</v>
      </c>
      <c r="O320" s="4">
        <v>256.29746</v>
      </c>
      <c r="P320" s="4">
        <v>256.06582600000002</v>
      </c>
      <c r="Q320" s="4">
        <v>412.97290500000003</v>
      </c>
      <c r="R320" s="2">
        <v>1</v>
      </c>
      <c r="S320" s="4">
        <v>194.61520999999999</v>
      </c>
      <c r="T320" s="4">
        <v>181.758376</v>
      </c>
      <c r="U320" t="s">
        <v>25</v>
      </c>
      <c r="V320" s="6">
        <v>0</v>
      </c>
    </row>
    <row r="321" spans="1:22" x14ac:dyDescent="0.3">
      <c r="A321" t="s">
        <v>289</v>
      </c>
      <c r="B321" t="s">
        <v>327</v>
      </c>
      <c r="C321" s="2">
        <v>7000</v>
      </c>
      <c r="D321" s="2">
        <v>300</v>
      </c>
      <c r="E321" s="3">
        <v>1.5786300000000001E-3</v>
      </c>
      <c r="F321" s="4">
        <v>350.39949999999999</v>
      </c>
      <c r="G321" s="4">
        <v>350.00018</v>
      </c>
      <c r="H321" s="4">
        <v>348.95057700000001</v>
      </c>
      <c r="I321" t="s">
        <v>25</v>
      </c>
      <c r="J321" s="2">
        <v>0</v>
      </c>
      <c r="K321" s="4">
        <v>350.32562000000001</v>
      </c>
      <c r="L321" s="4">
        <v>350.016976</v>
      </c>
      <c r="M321" t="s">
        <v>25</v>
      </c>
      <c r="N321" s="2">
        <v>0</v>
      </c>
      <c r="O321" s="4">
        <v>350.32708000000002</v>
      </c>
      <c r="P321" s="4">
        <v>349.99695100000002</v>
      </c>
      <c r="Q321" t="s">
        <v>25</v>
      </c>
      <c r="R321" s="2">
        <v>0</v>
      </c>
      <c r="S321" s="4">
        <v>255.87237999999999</v>
      </c>
      <c r="T321" s="4">
        <v>236.846036</v>
      </c>
      <c r="U321" t="s">
        <v>25</v>
      </c>
      <c r="V321" s="6">
        <v>0</v>
      </c>
    </row>
    <row r="322" spans="1:22" x14ac:dyDescent="0.3">
      <c r="A322" t="s">
        <v>289</v>
      </c>
      <c r="B322" t="s">
        <v>328</v>
      </c>
      <c r="C322" s="2">
        <v>7000</v>
      </c>
      <c r="D322" s="2">
        <v>400</v>
      </c>
      <c r="E322" s="3">
        <v>1.5786300000000001E-3</v>
      </c>
      <c r="F322" s="4">
        <v>435.43218000000002</v>
      </c>
      <c r="G322" s="4">
        <v>433.56335000000001</v>
      </c>
      <c r="H322" s="4">
        <v>432.82025900000002</v>
      </c>
      <c r="I322" t="s">
        <v>25</v>
      </c>
      <c r="J322" s="2">
        <v>0</v>
      </c>
      <c r="K322" s="4">
        <v>435.38952</v>
      </c>
      <c r="L322" s="4">
        <v>434.82213400000001</v>
      </c>
      <c r="M322" t="s">
        <v>25</v>
      </c>
      <c r="N322" s="2">
        <v>0</v>
      </c>
      <c r="O322" s="4">
        <v>435.43218000000002</v>
      </c>
      <c r="P322" s="4">
        <v>435.04092000000003</v>
      </c>
      <c r="Q322" s="4">
        <v>548.38333499999999</v>
      </c>
      <c r="R322" s="2">
        <v>2</v>
      </c>
      <c r="S322" s="4">
        <v>301.57373999999999</v>
      </c>
      <c r="T322" s="4">
        <v>291.10781100000003</v>
      </c>
      <c r="U322" t="s">
        <v>25</v>
      </c>
      <c r="V322" s="6">
        <v>0</v>
      </c>
    </row>
    <row r="323" spans="1:22" x14ac:dyDescent="0.3">
      <c r="A323" t="s">
        <v>289</v>
      </c>
      <c r="B323" t="s">
        <v>329</v>
      </c>
      <c r="C323" s="2">
        <v>7000</v>
      </c>
      <c r="D323" s="2">
        <v>500</v>
      </c>
      <c r="E323" s="3">
        <v>1.5786300000000001E-3</v>
      </c>
      <c r="F323" s="4">
        <v>512.72307999999998</v>
      </c>
      <c r="G323" s="4">
        <v>510.87178</v>
      </c>
      <c r="H323" s="4">
        <v>509.86623100000003</v>
      </c>
      <c r="I323" t="s">
        <v>25</v>
      </c>
      <c r="J323" s="2">
        <v>0</v>
      </c>
      <c r="K323" s="4">
        <v>511.98737</v>
      </c>
      <c r="L323" s="4">
        <v>511.53995200000003</v>
      </c>
      <c r="M323" t="s">
        <v>25</v>
      </c>
      <c r="N323" s="2">
        <v>0</v>
      </c>
      <c r="O323" s="4">
        <v>512.26868000000002</v>
      </c>
      <c r="P323" s="4">
        <v>511.58695999999998</v>
      </c>
      <c r="Q323" t="s">
        <v>25</v>
      </c>
      <c r="R323" s="2">
        <v>0</v>
      </c>
      <c r="S323" s="4">
        <v>367.48379</v>
      </c>
      <c r="T323" s="4">
        <v>347.85612800000001</v>
      </c>
      <c r="U323" t="s">
        <v>25</v>
      </c>
      <c r="V323" s="6">
        <v>0</v>
      </c>
    </row>
    <row r="324" spans="1:22" x14ac:dyDescent="0.3">
      <c r="A324" t="s">
        <v>289</v>
      </c>
      <c r="B324" t="s">
        <v>330</v>
      </c>
      <c r="C324" s="2">
        <v>7000</v>
      </c>
      <c r="D324" s="2">
        <v>100</v>
      </c>
      <c r="E324" s="3">
        <v>1.4308599999999999E-3</v>
      </c>
      <c r="F324" s="4">
        <v>145.03611000000001</v>
      </c>
      <c r="G324" s="4">
        <v>144.82781</v>
      </c>
      <c r="H324" s="4">
        <v>144.77591000000001</v>
      </c>
      <c r="I324" t="s">
        <v>25</v>
      </c>
      <c r="J324" s="2">
        <v>0</v>
      </c>
      <c r="K324" s="4">
        <v>145.03611000000001</v>
      </c>
      <c r="L324" s="4">
        <v>145.03611000000001</v>
      </c>
      <c r="M324" s="4">
        <v>98.401280999999997</v>
      </c>
      <c r="N324" s="2">
        <v>10</v>
      </c>
      <c r="O324" s="4">
        <v>145.03611000000001</v>
      </c>
      <c r="P324" s="4">
        <v>145.03611000000001</v>
      </c>
      <c r="Q324" s="4">
        <v>46.005352999999999</v>
      </c>
      <c r="R324" s="2">
        <v>10</v>
      </c>
      <c r="S324" s="4">
        <v>118.11635</v>
      </c>
      <c r="T324" s="4">
        <v>112.062207</v>
      </c>
      <c r="U324" t="s">
        <v>25</v>
      </c>
      <c r="V324" s="6">
        <v>0</v>
      </c>
    </row>
    <row r="325" spans="1:22" x14ac:dyDescent="0.3">
      <c r="A325" t="s">
        <v>289</v>
      </c>
      <c r="B325" t="s">
        <v>331</v>
      </c>
      <c r="C325" s="2">
        <v>7000</v>
      </c>
      <c r="D325" s="2">
        <v>200</v>
      </c>
      <c r="E325" s="3">
        <v>1.4308599999999999E-3</v>
      </c>
      <c r="F325" s="4">
        <v>257.40258999999998</v>
      </c>
      <c r="G325" s="4">
        <v>256.95028000000002</v>
      </c>
      <c r="H325" s="4">
        <v>255.54809499999999</v>
      </c>
      <c r="I325" t="s">
        <v>25</v>
      </c>
      <c r="J325" s="2">
        <v>0</v>
      </c>
      <c r="K325" s="4">
        <v>257.40258999999998</v>
      </c>
      <c r="L325" s="4">
        <v>257.14654899999999</v>
      </c>
      <c r="M325" s="4">
        <v>442.376621</v>
      </c>
      <c r="N325" s="2">
        <v>2</v>
      </c>
      <c r="O325" s="4">
        <v>257.20328999999998</v>
      </c>
      <c r="P325" s="4">
        <v>257.04274199999998</v>
      </c>
      <c r="Q325" t="s">
        <v>25</v>
      </c>
      <c r="R325" s="2">
        <v>0</v>
      </c>
      <c r="S325" s="4">
        <v>206.74591000000001</v>
      </c>
      <c r="T325" s="4">
        <v>194.90330299999999</v>
      </c>
      <c r="U325" t="s">
        <v>25</v>
      </c>
      <c r="V325" s="6">
        <v>0</v>
      </c>
    </row>
    <row r="326" spans="1:22" x14ac:dyDescent="0.3">
      <c r="A326" t="s">
        <v>289</v>
      </c>
      <c r="B326" t="s">
        <v>332</v>
      </c>
      <c r="C326" s="2">
        <v>7000</v>
      </c>
      <c r="D326" s="2">
        <v>300</v>
      </c>
      <c r="E326" s="3">
        <v>1.4308599999999999E-3</v>
      </c>
      <c r="F326" s="4">
        <v>356.18635999999998</v>
      </c>
      <c r="G326" s="4">
        <v>353.45922999999999</v>
      </c>
      <c r="H326" s="4">
        <v>352.59458599999999</v>
      </c>
      <c r="I326" t="s">
        <v>25</v>
      </c>
      <c r="J326" s="2">
        <v>0</v>
      </c>
      <c r="K326" s="4">
        <v>355.72397999999998</v>
      </c>
      <c r="L326" s="4">
        <v>354.63476200000002</v>
      </c>
      <c r="M326" t="s">
        <v>25</v>
      </c>
      <c r="N326" s="2">
        <v>0</v>
      </c>
      <c r="O326" s="4">
        <v>355.02530999999999</v>
      </c>
      <c r="P326" s="4">
        <v>354.461589</v>
      </c>
      <c r="Q326" t="s">
        <v>25</v>
      </c>
      <c r="R326" s="2">
        <v>0</v>
      </c>
      <c r="S326" s="4">
        <v>289.96366</v>
      </c>
      <c r="T326" s="4">
        <v>256.814708</v>
      </c>
      <c r="U326" t="s">
        <v>25</v>
      </c>
      <c r="V326" s="6">
        <v>0</v>
      </c>
    </row>
    <row r="327" spans="1:22" x14ac:dyDescent="0.3">
      <c r="A327" t="s">
        <v>289</v>
      </c>
      <c r="B327" t="s">
        <v>333</v>
      </c>
      <c r="C327" s="2">
        <v>7000</v>
      </c>
      <c r="D327" s="2">
        <v>400</v>
      </c>
      <c r="E327" s="3">
        <v>1.4308599999999999E-3</v>
      </c>
      <c r="F327" s="4">
        <v>447.37688000000003</v>
      </c>
      <c r="G327" s="4">
        <v>445.91568999999998</v>
      </c>
      <c r="H327" s="4">
        <v>444.01120300000002</v>
      </c>
      <c r="I327" t="s">
        <v>25</v>
      </c>
      <c r="J327" s="2">
        <v>0</v>
      </c>
      <c r="K327" s="4">
        <v>446.50905999999998</v>
      </c>
      <c r="L327" s="4">
        <v>445.63606199999998</v>
      </c>
      <c r="M327" t="s">
        <v>25</v>
      </c>
      <c r="N327" s="2">
        <v>0</v>
      </c>
      <c r="O327" s="4">
        <v>446.55333999999999</v>
      </c>
      <c r="P327" s="4">
        <v>446.16697099999999</v>
      </c>
      <c r="Q327" t="s">
        <v>25</v>
      </c>
      <c r="R327" s="2">
        <v>0</v>
      </c>
      <c r="S327" s="4">
        <v>326.13213999999999</v>
      </c>
      <c r="T327" s="4">
        <v>307.34351900000001</v>
      </c>
      <c r="U327" t="s">
        <v>25</v>
      </c>
      <c r="V327" s="6">
        <v>0</v>
      </c>
    </row>
    <row r="328" spans="1:22" x14ac:dyDescent="0.3">
      <c r="A328" t="s">
        <v>289</v>
      </c>
      <c r="B328" t="s">
        <v>334</v>
      </c>
      <c r="C328" s="2">
        <v>7000</v>
      </c>
      <c r="D328" s="2">
        <v>500</v>
      </c>
      <c r="E328" s="3">
        <v>1.4308599999999999E-3</v>
      </c>
      <c r="F328" s="4">
        <v>533.20168999999999</v>
      </c>
      <c r="G328" s="4">
        <v>532.15371000000005</v>
      </c>
      <c r="H328" s="4">
        <v>529.85306600000001</v>
      </c>
      <c r="I328" t="s">
        <v>25</v>
      </c>
      <c r="J328" s="2">
        <v>0</v>
      </c>
      <c r="K328" s="4">
        <v>532.41602</v>
      </c>
      <c r="L328" s="4">
        <v>531.78234499999996</v>
      </c>
      <c r="M328" t="s">
        <v>25</v>
      </c>
      <c r="N328" s="2">
        <v>0</v>
      </c>
      <c r="O328" s="4">
        <v>532.40527999999995</v>
      </c>
      <c r="P328" s="4">
        <v>531.99849300000005</v>
      </c>
      <c r="Q328" t="s">
        <v>25</v>
      </c>
      <c r="R328" s="2">
        <v>0</v>
      </c>
      <c r="S328" s="4">
        <v>404.15904</v>
      </c>
      <c r="T328" s="4">
        <v>365.79750999999999</v>
      </c>
      <c r="U328" t="s">
        <v>25</v>
      </c>
      <c r="V328" s="6">
        <v>0</v>
      </c>
    </row>
    <row r="329" spans="1:22" x14ac:dyDescent="0.3">
      <c r="A329" t="s">
        <v>289</v>
      </c>
      <c r="B329" t="s">
        <v>335</v>
      </c>
      <c r="C329" s="2">
        <v>7000</v>
      </c>
      <c r="D329" s="2">
        <v>100</v>
      </c>
      <c r="E329" s="3">
        <v>1.5329400000000002E-3</v>
      </c>
      <c r="F329" s="4">
        <v>142.71664999999999</v>
      </c>
      <c r="G329" s="4">
        <v>142.71664999999999</v>
      </c>
      <c r="H329" s="4">
        <v>141.650666</v>
      </c>
      <c r="I329" s="4">
        <v>20.022969</v>
      </c>
      <c r="J329" s="2">
        <v>1</v>
      </c>
      <c r="K329" s="4">
        <v>142.71664999999999</v>
      </c>
      <c r="L329" s="4">
        <v>142.71082699999999</v>
      </c>
      <c r="M329" s="4">
        <v>140.814999</v>
      </c>
      <c r="N329" s="2">
        <v>7</v>
      </c>
      <c r="O329" s="4">
        <v>142.71664999999999</v>
      </c>
      <c r="P329" s="4">
        <v>142.68774400000001</v>
      </c>
      <c r="Q329" s="4">
        <v>395.65303499999999</v>
      </c>
      <c r="R329" s="2">
        <v>5</v>
      </c>
      <c r="S329" s="4">
        <v>115.49677</v>
      </c>
      <c r="T329" s="4">
        <v>113.098269</v>
      </c>
      <c r="U329" t="s">
        <v>25</v>
      </c>
      <c r="V329" s="6">
        <v>0</v>
      </c>
    </row>
    <row r="330" spans="1:22" x14ac:dyDescent="0.3">
      <c r="A330" t="s">
        <v>289</v>
      </c>
      <c r="B330" t="s">
        <v>336</v>
      </c>
      <c r="C330" s="2">
        <v>7000</v>
      </c>
      <c r="D330" s="2">
        <v>200</v>
      </c>
      <c r="E330" s="3">
        <v>1.5329400000000002E-3</v>
      </c>
      <c r="F330" s="4">
        <v>255.61268999999999</v>
      </c>
      <c r="G330" s="4">
        <v>255.03283999999999</v>
      </c>
      <c r="H330" s="4">
        <v>254.06869699999999</v>
      </c>
      <c r="I330" t="s">
        <v>25</v>
      </c>
      <c r="J330" s="2">
        <v>0</v>
      </c>
      <c r="K330" s="4">
        <v>255.54731000000001</v>
      </c>
      <c r="L330" s="4">
        <v>254.93571399999999</v>
      </c>
      <c r="M330" t="s">
        <v>25</v>
      </c>
      <c r="N330" s="2">
        <v>0</v>
      </c>
      <c r="O330" s="4">
        <v>255.5487</v>
      </c>
      <c r="P330" s="4">
        <v>255.45937900000001</v>
      </c>
      <c r="Q330" t="s">
        <v>25</v>
      </c>
      <c r="R330" s="2">
        <v>0</v>
      </c>
      <c r="S330" s="4">
        <v>206.53116</v>
      </c>
      <c r="T330" s="4">
        <v>192.00317899999999</v>
      </c>
      <c r="U330" t="s">
        <v>25</v>
      </c>
      <c r="V330" s="6">
        <v>0</v>
      </c>
    </row>
    <row r="331" spans="1:22" x14ac:dyDescent="0.3">
      <c r="A331" t="s">
        <v>289</v>
      </c>
      <c r="B331" t="s">
        <v>337</v>
      </c>
      <c r="C331" s="2">
        <v>7000</v>
      </c>
      <c r="D331" s="2">
        <v>300</v>
      </c>
      <c r="E331" s="3">
        <v>1.5329400000000002E-3</v>
      </c>
      <c r="F331" s="4">
        <v>354.48030999999997</v>
      </c>
      <c r="G331" s="4">
        <v>353.91869000000003</v>
      </c>
      <c r="H331" s="4">
        <v>352.79634299999998</v>
      </c>
      <c r="I331" t="s">
        <v>25</v>
      </c>
      <c r="J331" s="2">
        <v>0</v>
      </c>
      <c r="K331" s="4">
        <v>354.30006500000002</v>
      </c>
      <c r="L331" s="4">
        <v>353.85196250000001</v>
      </c>
      <c r="M331" t="s">
        <v>25</v>
      </c>
      <c r="N331" s="2">
        <v>0</v>
      </c>
      <c r="O331" s="4">
        <v>354.30006500000002</v>
      </c>
      <c r="P331" s="4">
        <v>354.0027225</v>
      </c>
      <c r="Q331" t="s">
        <v>25</v>
      </c>
      <c r="R331" s="2">
        <v>0</v>
      </c>
      <c r="S331" s="4">
        <v>257.15902</v>
      </c>
      <c r="T331" s="4">
        <v>242.51736600000001</v>
      </c>
      <c r="U331" t="s">
        <v>25</v>
      </c>
      <c r="V331" s="6">
        <v>0</v>
      </c>
    </row>
    <row r="332" spans="1:22" x14ac:dyDescent="0.3">
      <c r="A332" t="s">
        <v>289</v>
      </c>
      <c r="B332" t="s">
        <v>338</v>
      </c>
      <c r="C332" s="2">
        <v>7000</v>
      </c>
      <c r="D332" s="2">
        <v>400</v>
      </c>
      <c r="E332" s="3">
        <v>1.5329400000000002E-3</v>
      </c>
      <c r="F332" s="4">
        <v>442.88250499999998</v>
      </c>
      <c r="G332" s="4">
        <v>442.08402000000001</v>
      </c>
      <c r="H332" s="4">
        <v>440.77878850000002</v>
      </c>
      <c r="I332" t="s">
        <v>25</v>
      </c>
      <c r="J332" s="2">
        <v>0</v>
      </c>
      <c r="K332" s="4">
        <v>442.15455500000002</v>
      </c>
      <c r="L332" s="4">
        <v>441.76285949999999</v>
      </c>
      <c r="M332" t="s">
        <v>25</v>
      </c>
      <c r="N332" s="2">
        <v>0</v>
      </c>
      <c r="O332" s="4">
        <v>442.66447499999998</v>
      </c>
      <c r="P332" s="4">
        <v>442.14120600000001</v>
      </c>
      <c r="Q332" t="s">
        <v>25</v>
      </c>
      <c r="R332" s="2">
        <v>0</v>
      </c>
      <c r="S332" s="4">
        <v>325.73536999999999</v>
      </c>
      <c r="T332" s="4">
        <v>303.76897300000002</v>
      </c>
      <c r="U332" t="s">
        <v>25</v>
      </c>
      <c r="V332" s="6">
        <v>0</v>
      </c>
    </row>
    <row r="333" spans="1:22" x14ac:dyDescent="0.3">
      <c r="A333" t="s">
        <v>289</v>
      </c>
      <c r="B333" t="s">
        <v>339</v>
      </c>
      <c r="C333" s="2">
        <v>7000</v>
      </c>
      <c r="D333" s="2">
        <v>500</v>
      </c>
      <c r="E333" s="3">
        <v>1.5329400000000002E-3</v>
      </c>
      <c r="F333" s="4">
        <v>524.15727000000004</v>
      </c>
      <c r="G333" s="4">
        <v>521.61929999999995</v>
      </c>
      <c r="H333" s="4">
        <v>520.11409200000003</v>
      </c>
      <c r="I333" t="s">
        <v>25</v>
      </c>
      <c r="J333" s="2">
        <v>0</v>
      </c>
      <c r="K333" s="4">
        <v>523.06214</v>
      </c>
      <c r="L333" s="4">
        <v>522.62415699999997</v>
      </c>
      <c r="M333" t="s">
        <v>25</v>
      </c>
      <c r="N333" s="2">
        <v>0</v>
      </c>
      <c r="O333" s="4">
        <v>523.62148999999999</v>
      </c>
      <c r="P333" s="4">
        <v>523.10997299999997</v>
      </c>
      <c r="Q333" t="s">
        <v>25</v>
      </c>
      <c r="R333" s="2">
        <v>0</v>
      </c>
      <c r="S333" s="4">
        <v>384.04588999999999</v>
      </c>
      <c r="T333" s="4">
        <v>359.43684400000001</v>
      </c>
      <c r="U333" t="s">
        <v>25</v>
      </c>
      <c r="V333" s="6">
        <v>0</v>
      </c>
    </row>
    <row r="334" spans="1:22" x14ac:dyDescent="0.3">
      <c r="A334" s="7" t="s">
        <v>385</v>
      </c>
      <c r="B334" s="7"/>
      <c r="C334" s="8"/>
      <c r="D334" s="8"/>
      <c r="E334" s="9"/>
      <c r="F334" s="10"/>
      <c r="G334" s="11">
        <f t="array" ref="G334">AVERAGE((F284:F333-G284:G333)/F284:F333)</f>
        <v>2.3572324506318286E-3</v>
      </c>
      <c r="H334" s="11">
        <f t="array" ref="H334">AVERAGE((F284:F333-H284:H333)/F284:F333)</f>
        <v>5.3670736443908193E-3</v>
      </c>
      <c r="I334" s="7"/>
      <c r="J334" s="8">
        <f>SUM(J284:J333)</f>
        <v>23</v>
      </c>
      <c r="K334" s="11">
        <f t="array" ref="K334">AVERAGE((F284:F333-K284:K333)/F284:F333)</f>
        <v>7.1233905184939922E-4</v>
      </c>
      <c r="L334" s="11">
        <f t="array" ref="L334">AVERAGE((F284:F333-L284:L333)/F284:F333)</f>
        <v>1.6691541270782346E-3</v>
      </c>
      <c r="M334" s="7"/>
      <c r="N334" s="8">
        <f>SUM(N284:N333)</f>
        <v>98</v>
      </c>
      <c r="O334" s="11">
        <f t="array" ref="O334">AVERAGE((F284:F333-O284:O333)/F284:F333)</f>
        <v>6.2683812702148123E-4</v>
      </c>
      <c r="P334" s="11">
        <f t="array" ref="P334">AVERAGE((F284:F333-P284:P333)/F284:F333)</f>
        <v>1.3020209651522089E-3</v>
      </c>
      <c r="Q334" s="7"/>
      <c r="R334" s="8">
        <f>SUM(R284:R333)</f>
        <v>108</v>
      </c>
      <c r="S334" s="11">
        <f t="array" ref="S334">AVERAGE((F284:F333-S284:S333)/F284:F333)</f>
        <v>0.24053173801053901</v>
      </c>
      <c r="T334" s="11">
        <f t="array" ref="T334">AVERAGE((F284:F333-T284:T333)/F284:F333)</f>
        <v>0.29476275075639807</v>
      </c>
      <c r="U334" s="7"/>
      <c r="V334" s="14">
        <f>SUM(V284:V333)</f>
        <v>0</v>
      </c>
    </row>
    <row r="335" spans="1:22" x14ac:dyDescent="0.3">
      <c r="A335" t="s">
        <v>340</v>
      </c>
      <c r="B335" t="s">
        <v>341</v>
      </c>
      <c r="C335" s="2">
        <v>9269</v>
      </c>
      <c r="D335" s="2">
        <v>100</v>
      </c>
      <c r="E335" s="3">
        <v>7.1491999999999997E-4</v>
      </c>
      <c r="F335" s="4">
        <v>417.89166999999998</v>
      </c>
      <c r="G335" s="4">
        <v>417.89166999999998</v>
      </c>
      <c r="H335" s="4">
        <v>417.89166999999998</v>
      </c>
      <c r="I335" s="4">
        <v>1.0149820000000001</v>
      </c>
      <c r="J335" s="2">
        <v>10</v>
      </c>
      <c r="K335" s="4">
        <v>417.89166999999998</v>
      </c>
      <c r="L335" s="4">
        <v>417.89166999999998</v>
      </c>
      <c r="M335" s="4">
        <v>1.5991999999999999E-2</v>
      </c>
      <c r="N335" s="2">
        <v>10</v>
      </c>
      <c r="O335" s="4">
        <v>417.89166999999998</v>
      </c>
      <c r="P335" s="4">
        <v>417.89166999999998</v>
      </c>
      <c r="Q335" s="4">
        <v>1.5280999999999999E-2</v>
      </c>
      <c r="R335" s="2">
        <v>10</v>
      </c>
      <c r="S335" s="4">
        <v>362.50306</v>
      </c>
      <c r="T335" s="4">
        <v>320.63881900000001</v>
      </c>
      <c r="U335" t="s">
        <v>25</v>
      </c>
      <c r="V335" s="6">
        <v>0</v>
      </c>
    </row>
    <row r="336" spans="1:22" x14ac:dyDescent="0.3">
      <c r="A336" t="s">
        <v>340</v>
      </c>
      <c r="B336" t="s">
        <v>342</v>
      </c>
      <c r="C336" s="2">
        <v>9269</v>
      </c>
      <c r="D336" s="2">
        <v>200</v>
      </c>
      <c r="E336" s="3">
        <v>7.1491999999999997E-4</v>
      </c>
      <c r="F336" s="4">
        <v>594.53268000000003</v>
      </c>
      <c r="G336" s="4">
        <v>594.10626999999999</v>
      </c>
      <c r="H336" s="4">
        <v>594.00276199999996</v>
      </c>
      <c r="I336" t="s">
        <v>25</v>
      </c>
      <c r="J336" s="2">
        <v>0</v>
      </c>
      <c r="K336" s="4">
        <v>594.53268000000003</v>
      </c>
      <c r="L336" s="4">
        <v>594.24483899999996</v>
      </c>
      <c r="M336" s="4">
        <v>383.82492300000001</v>
      </c>
      <c r="N336" s="2">
        <v>3</v>
      </c>
      <c r="O336" s="4">
        <v>594.53268000000003</v>
      </c>
      <c r="P336" s="4">
        <v>594.31947500000001</v>
      </c>
      <c r="Q336" s="4">
        <v>164.553214</v>
      </c>
      <c r="R336" s="2">
        <v>5</v>
      </c>
      <c r="S336" s="4">
        <v>528.93014000000005</v>
      </c>
      <c r="T336" s="4">
        <v>441.46277400000002</v>
      </c>
      <c r="U336" t="s">
        <v>25</v>
      </c>
      <c r="V336" s="6">
        <v>0</v>
      </c>
    </row>
    <row r="337" spans="1:22" x14ac:dyDescent="0.3">
      <c r="A337" t="s">
        <v>340</v>
      </c>
      <c r="B337" t="s">
        <v>343</v>
      </c>
      <c r="C337" s="2">
        <v>9269</v>
      </c>
      <c r="D337" s="2">
        <v>300</v>
      </c>
      <c r="E337" s="3">
        <v>7.1491999999999997E-4</v>
      </c>
      <c r="F337" s="4">
        <v>733.41214000000002</v>
      </c>
      <c r="G337" s="4">
        <v>732.06060000000002</v>
      </c>
      <c r="H337" s="4">
        <v>730.53304500000002</v>
      </c>
      <c r="I337" t="s">
        <v>25</v>
      </c>
      <c r="J337" s="2">
        <v>0</v>
      </c>
      <c r="K337" s="4">
        <v>733.10199999999998</v>
      </c>
      <c r="L337" s="4">
        <v>732.44058099999995</v>
      </c>
      <c r="M337" t="s">
        <v>25</v>
      </c>
      <c r="N337" s="2">
        <v>0</v>
      </c>
      <c r="O337" s="4">
        <v>732.53733</v>
      </c>
      <c r="P337" s="4">
        <v>732.49439400000006</v>
      </c>
      <c r="Q337" t="s">
        <v>25</v>
      </c>
      <c r="R337" s="2">
        <v>0</v>
      </c>
      <c r="S337" s="4">
        <v>628.69984999999997</v>
      </c>
      <c r="T337" s="4">
        <v>537.66167800000005</v>
      </c>
      <c r="U337" t="s">
        <v>25</v>
      </c>
      <c r="V337" s="6">
        <v>0</v>
      </c>
    </row>
    <row r="338" spans="1:22" x14ac:dyDescent="0.3">
      <c r="A338" t="s">
        <v>340</v>
      </c>
      <c r="B338" t="s">
        <v>344</v>
      </c>
      <c r="C338" s="2">
        <v>9269</v>
      </c>
      <c r="D338" s="2">
        <v>400</v>
      </c>
      <c r="E338" s="3">
        <v>7.1491999999999997E-4</v>
      </c>
      <c r="F338" s="4">
        <v>854.70953999999995</v>
      </c>
      <c r="G338" s="4">
        <v>852.44349999999997</v>
      </c>
      <c r="H338" s="4">
        <v>851.12672699999996</v>
      </c>
      <c r="I338" t="s">
        <v>25</v>
      </c>
      <c r="J338" s="2">
        <v>0</v>
      </c>
      <c r="K338" s="4">
        <v>854.06169999999997</v>
      </c>
      <c r="L338" s="4">
        <v>853.34891500000003</v>
      </c>
      <c r="M338" t="s">
        <v>25</v>
      </c>
      <c r="N338" s="2">
        <v>0</v>
      </c>
      <c r="O338" s="4">
        <v>854.39152999999999</v>
      </c>
      <c r="P338" s="4">
        <v>853.95948299999998</v>
      </c>
      <c r="Q338" t="s">
        <v>25</v>
      </c>
      <c r="R338" s="2">
        <v>0</v>
      </c>
      <c r="S338" s="4">
        <v>697.96852999999999</v>
      </c>
      <c r="T338" s="4">
        <v>628.90984100000003</v>
      </c>
      <c r="U338" t="s">
        <v>25</v>
      </c>
      <c r="V338" s="6">
        <v>0</v>
      </c>
    </row>
    <row r="339" spans="1:22" x14ac:dyDescent="0.3">
      <c r="A339" t="s">
        <v>340</v>
      </c>
      <c r="B339" t="s">
        <v>345</v>
      </c>
      <c r="C339" s="2">
        <v>9269</v>
      </c>
      <c r="D339" s="2">
        <v>500</v>
      </c>
      <c r="E339" s="3">
        <v>7.1491999999999997E-4</v>
      </c>
      <c r="F339" s="4">
        <v>963.02416000000005</v>
      </c>
      <c r="G339" s="4">
        <v>959.82405000000006</v>
      </c>
      <c r="H339" s="4">
        <v>957.29203500000006</v>
      </c>
      <c r="I339" t="s">
        <v>25</v>
      </c>
      <c r="J339" s="2">
        <v>0</v>
      </c>
      <c r="K339" s="4">
        <v>961.70057999999995</v>
      </c>
      <c r="L339" s="4">
        <v>960.83756800000003</v>
      </c>
      <c r="M339" t="s">
        <v>25</v>
      </c>
      <c r="N339" s="2">
        <v>0</v>
      </c>
      <c r="O339" s="4">
        <v>962.28552999999999</v>
      </c>
      <c r="P339" s="4">
        <v>961.63086599999997</v>
      </c>
      <c r="Q339" t="s">
        <v>25</v>
      </c>
      <c r="R339" s="2">
        <v>0</v>
      </c>
      <c r="S339" s="4">
        <v>846.47670000000005</v>
      </c>
      <c r="T339" s="4">
        <v>733.12868700000001</v>
      </c>
      <c r="U339" t="s">
        <v>25</v>
      </c>
      <c r="V339" s="6">
        <v>0</v>
      </c>
    </row>
    <row r="340" spans="1:22" x14ac:dyDescent="0.3">
      <c r="A340" s="7" t="s">
        <v>388</v>
      </c>
      <c r="B340" s="7"/>
      <c r="C340" s="8"/>
      <c r="D340" s="8"/>
      <c r="E340" s="9"/>
      <c r="F340" s="11"/>
      <c r="G340" s="11">
        <f t="array" ref="G340">AVERAGE((F335:F339-G335:G339)/F335:F339)</f>
        <v>1.7068499329046638E-3</v>
      </c>
      <c r="H340" s="11">
        <f t="array" ref="H340">AVERAGE((F335:F339-H335:H339)/F335:F339)</f>
        <v>2.9921994012957784E-3</v>
      </c>
      <c r="I340" s="7"/>
      <c r="J340" s="8">
        <f>SUM(J335:J339)</f>
        <v>10</v>
      </c>
      <c r="K340" s="11">
        <f t="array" ref="K340">AVERAGE((F335:F339-K335:K339)/F335:F339)</f>
        <v>5.1104748300257233E-4</v>
      </c>
      <c r="L340" s="11">
        <f t="array" ref="L340">AVERAGE((F335:F339-L335:L339)/F335:F339)</f>
        <v>1.1342639870299675E-3</v>
      </c>
      <c r="M340" s="7"/>
      <c r="N340" s="8">
        <f>SUM(N335:N339)</f>
        <v>13</v>
      </c>
      <c r="O340" s="11">
        <f t="array" ref="O340">AVERAGE((F335:F339-O335:O339)/F335:F339)</f>
        <v>4.6637051353930258E-4</v>
      </c>
      <c r="P340" s="11">
        <f t="array" ref="P340">AVERAGE((F335:F339-P335:P339)/F335:F339)</f>
        <v>7.8685895812230478E-4</v>
      </c>
      <c r="Q340" s="7"/>
      <c r="R340" s="8">
        <f>SUM(R335:R339)</f>
        <v>15</v>
      </c>
      <c r="S340" s="11">
        <f t="array" ref="S340">AVERAGE((F335:F339-S335:S339)/F335:F339)</f>
        <v>0.13801352921754026</v>
      </c>
      <c r="T340" s="11">
        <f t="array" ref="T340">AVERAGE((F335:F339-T335:T339)/F335:F339)</f>
        <v>0.25199887218028622</v>
      </c>
      <c r="U340" s="7"/>
      <c r="V340" s="14">
        <f>SUM(V335:V339)</f>
        <v>0</v>
      </c>
    </row>
    <row r="341" spans="1:22" x14ac:dyDescent="0.3">
      <c r="A341" t="s">
        <v>340</v>
      </c>
      <c r="B341" t="s">
        <v>346</v>
      </c>
      <c r="C341" s="2">
        <v>7159</v>
      </c>
      <c r="D341" s="2">
        <v>100</v>
      </c>
      <c r="E341" s="3">
        <v>5.9632000000000001E-4</v>
      </c>
      <c r="F341" s="4">
        <v>139.14170999999999</v>
      </c>
      <c r="G341" s="4">
        <v>139.09605999999999</v>
      </c>
      <c r="H341" s="4">
        <v>138.51910699999999</v>
      </c>
      <c r="I341" t="s">
        <v>25</v>
      </c>
      <c r="J341" s="2">
        <v>0</v>
      </c>
      <c r="K341" s="4">
        <v>139.09605999999999</v>
      </c>
      <c r="L341" s="4">
        <v>139.01805300000001</v>
      </c>
      <c r="M341" t="s">
        <v>25</v>
      </c>
      <c r="N341" s="2">
        <v>0</v>
      </c>
      <c r="O341" s="4">
        <v>139.09605999999999</v>
      </c>
      <c r="P341" s="4">
        <v>139.08106000000001</v>
      </c>
      <c r="Q341" t="s">
        <v>25</v>
      </c>
      <c r="R341" s="2">
        <v>0</v>
      </c>
      <c r="S341" s="4">
        <v>94.895539999999997</v>
      </c>
      <c r="T341" s="4">
        <v>88.831322</v>
      </c>
      <c r="U341" t="s">
        <v>25</v>
      </c>
      <c r="V341" s="6">
        <v>0</v>
      </c>
    </row>
    <row r="342" spans="1:22" x14ac:dyDescent="0.3">
      <c r="A342" t="s">
        <v>340</v>
      </c>
      <c r="B342" t="s">
        <v>347</v>
      </c>
      <c r="C342" s="2">
        <v>7159</v>
      </c>
      <c r="D342" s="2">
        <v>200</v>
      </c>
      <c r="E342" s="3">
        <v>5.9632000000000001E-4</v>
      </c>
      <c r="F342" s="4">
        <v>239.88853</v>
      </c>
      <c r="G342" s="4">
        <v>239.29400000000001</v>
      </c>
      <c r="H342" s="4">
        <v>238.19461699999999</v>
      </c>
      <c r="I342" t="s">
        <v>25</v>
      </c>
      <c r="J342" s="2">
        <v>0</v>
      </c>
      <c r="K342" s="4">
        <v>239.65539000000001</v>
      </c>
      <c r="L342" s="4">
        <v>239.49566999999999</v>
      </c>
      <c r="M342" t="s">
        <v>25</v>
      </c>
      <c r="N342" s="2">
        <v>0</v>
      </c>
      <c r="O342" s="4">
        <v>239.65539000000001</v>
      </c>
      <c r="P342" s="4">
        <v>239.55444399999999</v>
      </c>
      <c r="Q342" t="s">
        <v>25</v>
      </c>
      <c r="R342" s="2">
        <v>0</v>
      </c>
      <c r="S342" s="4">
        <v>171.55296000000001</v>
      </c>
      <c r="T342" s="4">
        <v>153.76510500000001</v>
      </c>
      <c r="U342" t="s">
        <v>25</v>
      </c>
      <c r="V342" s="6">
        <v>0</v>
      </c>
    </row>
    <row r="343" spans="1:22" x14ac:dyDescent="0.3">
      <c r="A343" t="s">
        <v>340</v>
      </c>
      <c r="B343" t="s">
        <v>348</v>
      </c>
      <c r="C343" s="2">
        <v>7159</v>
      </c>
      <c r="D343" s="2">
        <v>300</v>
      </c>
      <c r="E343" s="3">
        <v>5.9632000000000001E-4</v>
      </c>
      <c r="F343" s="4">
        <v>324.05162999999999</v>
      </c>
      <c r="G343" s="4">
        <v>321.13398999999998</v>
      </c>
      <c r="H343" s="4">
        <v>319.98112500000002</v>
      </c>
      <c r="I343" t="s">
        <v>25</v>
      </c>
      <c r="J343" s="2">
        <v>0</v>
      </c>
      <c r="K343" s="4">
        <v>322.14814000000001</v>
      </c>
      <c r="L343" s="4">
        <v>321.82479599999999</v>
      </c>
      <c r="M343" t="s">
        <v>25</v>
      </c>
      <c r="N343" s="2">
        <v>0</v>
      </c>
      <c r="O343" s="4">
        <v>322.43022999999999</v>
      </c>
      <c r="P343" s="4">
        <v>322.13219900000001</v>
      </c>
      <c r="Q343" t="s">
        <v>25</v>
      </c>
      <c r="R343" s="2">
        <v>0</v>
      </c>
      <c r="S343" s="4">
        <v>226.68687</v>
      </c>
      <c r="T343" s="4">
        <v>206.657456</v>
      </c>
      <c r="U343" t="s">
        <v>25</v>
      </c>
      <c r="V343" s="6">
        <v>0</v>
      </c>
    </row>
    <row r="344" spans="1:22" x14ac:dyDescent="0.3">
      <c r="A344" t="s">
        <v>340</v>
      </c>
      <c r="B344" t="s">
        <v>349</v>
      </c>
      <c r="C344" s="2">
        <v>7159</v>
      </c>
      <c r="D344" s="2">
        <v>400</v>
      </c>
      <c r="E344" s="3">
        <v>5.9632000000000001E-4</v>
      </c>
      <c r="F344" s="4">
        <v>397.0994</v>
      </c>
      <c r="G344" s="4">
        <v>392.19515000000001</v>
      </c>
      <c r="H344" s="4">
        <v>390.92553500000002</v>
      </c>
      <c r="I344" t="s">
        <v>25</v>
      </c>
      <c r="J344" s="2">
        <v>0</v>
      </c>
      <c r="K344" s="4">
        <v>394.29277999999999</v>
      </c>
      <c r="L344" s="4">
        <v>393.42800899999997</v>
      </c>
      <c r="M344" t="s">
        <v>25</v>
      </c>
      <c r="N344" s="2">
        <v>0</v>
      </c>
      <c r="O344" s="4">
        <v>394.52569999999997</v>
      </c>
      <c r="P344" s="4">
        <v>393.84452599999997</v>
      </c>
      <c r="Q344" t="s">
        <v>25</v>
      </c>
      <c r="R344" s="2">
        <v>0</v>
      </c>
      <c r="S344" s="4">
        <v>282.69220000000001</v>
      </c>
      <c r="T344" s="4">
        <v>260.00379600000002</v>
      </c>
      <c r="U344" t="s">
        <v>25</v>
      </c>
      <c r="V344" s="6">
        <v>0</v>
      </c>
    </row>
    <row r="345" spans="1:22" x14ac:dyDescent="0.3">
      <c r="A345" t="s">
        <v>340</v>
      </c>
      <c r="B345" t="s">
        <v>350</v>
      </c>
      <c r="C345" s="2">
        <v>7159</v>
      </c>
      <c r="D345" s="2">
        <v>500</v>
      </c>
      <c r="E345" s="3">
        <v>5.9632000000000001E-4</v>
      </c>
      <c r="F345" s="4">
        <v>462.22345999999999</v>
      </c>
      <c r="G345" s="4">
        <v>458.28841</v>
      </c>
      <c r="H345" s="4">
        <v>456.81576000000001</v>
      </c>
      <c r="I345" t="s">
        <v>25</v>
      </c>
      <c r="J345" s="2">
        <v>0</v>
      </c>
      <c r="K345" s="4">
        <v>460.08377999999999</v>
      </c>
      <c r="L345" s="4">
        <v>459.220685</v>
      </c>
      <c r="M345" t="s">
        <v>25</v>
      </c>
      <c r="N345" s="2">
        <v>0</v>
      </c>
      <c r="O345" s="4">
        <v>460.66617000000002</v>
      </c>
      <c r="P345" s="4">
        <v>459.94970699999999</v>
      </c>
      <c r="Q345" t="s">
        <v>25</v>
      </c>
      <c r="R345" s="2">
        <v>0</v>
      </c>
      <c r="S345" s="4">
        <v>338.33172999999999</v>
      </c>
      <c r="T345" s="4">
        <v>311.806736</v>
      </c>
      <c r="U345" t="s">
        <v>25</v>
      </c>
      <c r="V345" s="6">
        <v>0</v>
      </c>
    </row>
    <row r="346" spans="1:22" x14ac:dyDescent="0.3">
      <c r="A346" s="7" t="s">
        <v>387</v>
      </c>
      <c r="B346" s="7"/>
      <c r="C346" s="8"/>
      <c r="D346" s="8"/>
      <c r="E346" s="9"/>
      <c r="F346" s="10"/>
      <c r="G346" s="11">
        <f t="array" ref="G346">AVERAGE((F341:F345-G341:G345)/F341:F345)</f>
        <v>6.5347116150624327E-3</v>
      </c>
      <c r="H346" s="11">
        <f t="array" ref="H346">AVERAGE((F341:F345-H341:H345)/F341:F345)</f>
        <v>1.0268771287439122E-2</v>
      </c>
      <c r="I346" s="7"/>
      <c r="J346" s="8">
        <f>SUM(J341:J345)</f>
        <v>0</v>
      </c>
      <c r="K346" s="11">
        <f t="array" ref="K346">AVERAGE((F341:F345-K341:K345)/F341:F345)</f>
        <v>3.7741778198861048E-3</v>
      </c>
      <c r="L346" s="11">
        <f t="array" ref="L346">AVERAGE((F341:F345-L341:L345)/F341:F345)</f>
        <v>5.0280263181530661E-3</v>
      </c>
      <c r="M346" s="7"/>
      <c r="N346" s="8">
        <f>SUM(N341:N345)</f>
        <v>0</v>
      </c>
      <c r="O346" s="11">
        <f t="array" ref="O346">AVERAGE((F341:F345-O341:O345)/F341:F345)</f>
        <v>3.2307702570667568E-3</v>
      </c>
      <c r="P346" s="11">
        <f t="array" ref="P346">AVERAGE((F341:F345-P341:P345)/F341:F345)</f>
        <v>4.1735142130826536E-3</v>
      </c>
      <c r="Q346" s="7"/>
      <c r="R346" s="8">
        <f>SUM(R341:R345)</f>
        <v>0</v>
      </c>
      <c r="S346" s="11">
        <f t="array" ref="S346">AVERAGE((F341:F345-S341:S345)/F341:F345)</f>
        <v>0.29189190990880276</v>
      </c>
      <c r="T346" s="11">
        <f t="array" ref="T346">AVERAGE((F341:F345-T341:T345)/F341:F345)</f>
        <v>0.35070467875995825</v>
      </c>
      <c r="U346" s="7"/>
      <c r="V346" s="14">
        <f>SUM(V341:V345)</f>
        <v>0</v>
      </c>
    </row>
    <row r="347" spans="1:22" x14ac:dyDescent="0.3">
      <c r="A347" t="s">
        <v>340</v>
      </c>
      <c r="B347" t="s">
        <v>351</v>
      </c>
      <c r="C347" s="2">
        <v>1021</v>
      </c>
      <c r="D347" s="2">
        <v>100</v>
      </c>
      <c r="E347" s="3">
        <v>2.1534070000000002E-2</v>
      </c>
      <c r="F347" s="4">
        <v>73.725110000000001</v>
      </c>
      <c r="G347" s="4">
        <v>73.725110000000001</v>
      </c>
      <c r="H347" s="4">
        <v>73.725110000000001</v>
      </c>
      <c r="I347" s="4">
        <v>7.8446000000000002E-2</v>
      </c>
      <c r="J347" s="2">
        <v>10</v>
      </c>
      <c r="K347" s="4">
        <v>73.725110000000001</v>
      </c>
      <c r="L347" s="4">
        <v>73.725110000000001</v>
      </c>
      <c r="M347" s="4">
        <v>1.0978999999999999E-2</v>
      </c>
      <c r="N347" s="2">
        <v>10</v>
      </c>
      <c r="O347" s="4">
        <v>73.725110000000001</v>
      </c>
      <c r="P347" s="4">
        <v>73.725110000000001</v>
      </c>
      <c r="Q347" s="4">
        <v>1.0699999999999999E-2</v>
      </c>
      <c r="R347" s="2">
        <v>10</v>
      </c>
      <c r="S347" s="4">
        <v>73.725110000000001</v>
      </c>
      <c r="T347" s="4">
        <v>72.934770999999998</v>
      </c>
      <c r="U347">
        <v>265.60913499999998</v>
      </c>
      <c r="V347" s="6">
        <v>1</v>
      </c>
    </row>
    <row r="348" spans="1:22" x14ac:dyDescent="0.3">
      <c r="A348" t="s">
        <v>340</v>
      </c>
      <c r="B348" t="s">
        <v>352</v>
      </c>
      <c r="C348" s="2">
        <v>1021</v>
      </c>
      <c r="D348" s="2">
        <v>200</v>
      </c>
      <c r="E348" s="3">
        <v>2.1534070000000002E-2</v>
      </c>
      <c r="F348" s="4">
        <v>135.45123000000001</v>
      </c>
      <c r="G348" s="4">
        <v>135.45123000000001</v>
      </c>
      <c r="H348" s="4">
        <v>135.45123000000001</v>
      </c>
      <c r="I348" s="4">
        <v>12.287312999999999</v>
      </c>
      <c r="J348" s="2">
        <v>10</v>
      </c>
      <c r="K348" s="4">
        <v>135.45123000000001</v>
      </c>
      <c r="L348" s="4">
        <v>135.45123000000001</v>
      </c>
      <c r="M348" s="4">
        <v>1.503903</v>
      </c>
      <c r="N348" s="2">
        <v>10</v>
      </c>
      <c r="O348" s="4">
        <v>135.45123000000001</v>
      </c>
      <c r="P348" s="4">
        <v>135.45123000000001</v>
      </c>
      <c r="Q348" s="4">
        <v>1.5676399999999999</v>
      </c>
      <c r="R348" s="2">
        <v>10</v>
      </c>
      <c r="S348" s="4">
        <v>135.45123000000001</v>
      </c>
      <c r="T348" s="4">
        <v>134.90742599999999</v>
      </c>
      <c r="U348">
        <v>244.88598500000001</v>
      </c>
      <c r="V348" s="6">
        <v>1</v>
      </c>
    </row>
    <row r="349" spans="1:22" x14ac:dyDescent="0.3">
      <c r="A349" t="s">
        <v>340</v>
      </c>
      <c r="B349" t="s">
        <v>353</v>
      </c>
      <c r="C349" s="2">
        <v>1021</v>
      </c>
      <c r="D349" s="2">
        <v>300</v>
      </c>
      <c r="E349" s="3">
        <v>2.1534070000000002E-2</v>
      </c>
      <c r="F349" s="4">
        <v>180.66899000000001</v>
      </c>
      <c r="G349" s="4">
        <v>180.66899000000001</v>
      </c>
      <c r="H349" s="4">
        <v>180.66899000000001</v>
      </c>
      <c r="I349" s="4">
        <v>159.16187400000001</v>
      </c>
      <c r="J349" s="2">
        <v>10</v>
      </c>
      <c r="K349" s="4">
        <v>180.66899000000001</v>
      </c>
      <c r="L349" s="4">
        <v>180.66899000000001</v>
      </c>
      <c r="M349" s="4">
        <v>57.147644999999997</v>
      </c>
      <c r="N349" s="2">
        <v>10</v>
      </c>
      <c r="O349" s="4">
        <v>180.66899000000001</v>
      </c>
      <c r="P349" s="4">
        <v>180.66899000000001</v>
      </c>
      <c r="Q349" s="4">
        <v>10.148992</v>
      </c>
      <c r="R349" s="2">
        <v>10</v>
      </c>
      <c r="S349" s="4">
        <v>180.66899000000001</v>
      </c>
      <c r="T349" s="4">
        <v>180.319075</v>
      </c>
      <c r="U349">
        <v>595.37140099999999</v>
      </c>
      <c r="V349" s="6">
        <v>1</v>
      </c>
    </row>
    <row r="350" spans="1:22" x14ac:dyDescent="0.3">
      <c r="A350" t="s">
        <v>340</v>
      </c>
      <c r="B350" t="s">
        <v>354</v>
      </c>
      <c r="C350" s="2">
        <v>1021</v>
      </c>
      <c r="D350" s="2">
        <v>400</v>
      </c>
      <c r="E350" s="3">
        <v>2.1534070000000002E-2</v>
      </c>
      <c r="F350" s="4">
        <v>216.52959999999999</v>
      </c>
      <c r="G350" s="4">
        <v>216.52959999999999</v>
      </c>
      <c r="H350" s="4">
        <v>216.514869</v>
      </c>
      <c r="I350" s="4">
        <v>150.51405800000001</v>
      </c>
      <c r="J350" s="2">
        <v>1</v>
      </c>
      <c r="K350" s="4">
        <v>216.52959999999999</v>
      </c>
      <c r="L350" s="4">
        <v>216.529222</v>
      </c>
      <c r="M350" s="4">
        <v>79.963347999999996</v>
      </c>
      <c r="N350" s="2">
        <v>9</v>
      </c>
      <c r="O350" s="4">
        <v>216.52959999999999</v>
      </c>
      <c r="P350" s="4">
        <v>216.52959999999999</v>
      </c>
      <c r="Q350" s="4">
        <v>126.020608</v>
      </c>
      <c r="R350" s="2">
        <v>10</v>
      </c>
      <c r="S350" s="4">
        <v>216.49135999999999</v>
      </c>
      <c r="T350" s="4">
        <v>216.18463199999999</v>
      </c>
      <c r="U350" t="s">
        <v>25</v>
      </c>
      <c r="V350" s="6">
        <v>0</v>
      </c>
    </row>
    <row r="351" spans="1:22" x14ac:dyDescent="0.3">
      <c r="A351" t="s">
        <v>340</v>
      </c>
      <c r="B351" t="s">
        <v>355</v>
      </c>
      <c r="C351" s="2">
        <v>1021</v>
      </c>
      <c r="D351" s="2">
        <v>500</v>
      </c>
      <c r="E351" s="3">
        <v>2.1534070000000002E-2</v>
      </c>
      <c r="F351" s="4">
        <v>247.96358000000001</v>
      </c>
      <c r="G351" s="4">
        <v>247.96358000000001</v>
      </c>
      <c r="H351" s="4">
        <v>247.96358000000001</v>
      </c>
      <c r="I351" s="4">
        <v>34.866264999999999</v>
      </c>
      <c r="J351" s="2">
        <v>10</v>
      </c>
      <c r="K351" s="4">
        <v>247.96358000000001</v>
      </c>
      <c r="L351" s="4">
        <v>247.96358000000001</v>
      </c>
      <c r="M351" s="4">
        <v>7.861421</v>
      </c>
      <c r="N351" s="2">
        <v>10</v>
      </c>
      <c r="O351" s="4">
        <v>247.96358000000001</v>
      </c>
      <c r="P351" s="4">
        <v>247.96358000000001</v>
      </c>
      <c r="Q351" s="4">
        <v>2.2267049999999999</v>
      </c>
      <c r="R351" s="2">
        <v>10</v>
      </c>
      <c r="S351" s="4">
        <v>247.77731</v>
      </c>
      <c r="T351" s="4">
        <v>247.01763600000001</v>
      </c>
      <c r="U351" t="s">
        <v>25</v>
      </c>
      <c r="V351" s="6">
        <v>0</v>
      </c>
    </row>
    <row r="352" spans="1:22" x14ac:dyDescent="0.3">
      <c r="A352" s="7" t="s">
        <v>386</v>
      </c>
      <c r="B352" s="7"/>
      <c r="C352" s="8"/>
      <c r="D352" s="8"/>
      <c r="E352" s="9"/>
      <c r="F352" s="10"/>
      <c r="G352" s="11">
        <f t="array" ref="G352">AVERAGE((F347:F351-G347:G351)/F347:F351)</f>
        <v>0</v>
      </c>
      <c r="H352" s="11">
        <f t="array" ref="H352">AVERAGE((F347:F351-H347:H351)/F347:F351)</f>
        <v>1.3606453805838461E-5</v>
      </c>
      <c r="I352" s="10"/>
      <c r="J352" s="8">
        <f>SUM(J347:J351)</f>
        <v>41</v>
      </c>
      <c r="K352" s="11">
        <f t="array" ref="K352">AVERAGE((F347:F351-K347:K351)/F347:F351)</f>
        <v>0</v>
      </c>
      <c r="L352" s="13">
        <f t="array" ref="L352">AVERAGE((F347:F351-L347:L351)/F347:F351)</f>
        <v>3.4914395074258499E-7</v>
      </c>
      <c r="M352" s="10"/>
      <c r="N352" s="8">
        <f>SUM(N347:N351)</f>
        <v>49</v>
      </c>
      <c r="O352" s="11">
        <f t="array" ref="O352">AVERAGE((F347:F351-O347:O351)/F347:F351)</f>
        <v>0</v>
      </c>
      <c r="P352" s="11">
        <f t="array" ref="P352">AVERAGE((F347:F351-P347:P351)/F347:F351)</f>
        <v>0</v>
      </c>
      <c r="Q352" s="10"/>
      <c r="R352" s="8">
        <f>SUM(R347:R351)</f>
        <v>50</v>
      </c>
      <c r="S352" s="11">
        <f t="array" ref="S352">AVERAGE((F347:F351-S347:S351)/F347:F351)</f>
        <v>1.855606114016273E-4</v>
      </c>
      <c r="T352" s="11">
        <f t="array" ref="T352">AVERAGE((F347:F351-T347:T351)/F347:F351)</f>
        <v>4.4159260047121739E-3</v>
      </c>
      <c r="U352" s="7"/>
      <c r="V352" s="14">
        <f>SUM(V347:V351)</f>
        <v>3</v>
      </c>
    </row>
    <row r="353" spans="1:22" x14ac:dyDescent="0.3">
      <c r="A353" t="s">
        <v>340</v>
      </c>
      <c r="B353" t="s">
        <v>356</v>
      </c>
      <c r="C353" s="2">
        <v>8834</v>
      </c>
      <c r="D353" s="2">
        <v>100</v>
      </c>
      <c r="E353" s="3">
        <v>1.59604E-3</v>
      </c>
      <c r="F353" s="4">
        <v>42.44903</v>
      </c>
      <c r="G353" s="4">
        <v>42.44903</v>
      </c>
      <c r="H353" s="4">
        <v>42.44903</v>
      </c>
      <c r="I353" s="4">
        <v>247.62045499999999</v>
      </c>
      <c r="J353" s="2">
        <v>10</v>
      </c>
      <c r="K353" s="4">
        <v>42.44903</v>
      </c>
      <c r="L353" s="4">
        <v>42.44903</v>
      </c>
      <c r="M353" s="4">
        <v>57.388272999999998</v>
      </c>
      <c r="N353" s="2">
        <v>10</v>
      </c>
      <c r="O353" s="4">
        <v>42.44903</v>
      </c>
      <c r="P353" s="4">
        <v>42.44903</v>
      </c>
      <c r="Q353" s="4">
        <v>51.068226000000003</v>
      </c>
      <c r="R353" s="2">
        <v>10</v>
      </c>
      <c r="S353" s="4">
        <v>42.44903</v>
      </c>
      <c r="T353" s="4">
        <v>42.286369999999998</v>
      </c>
      <c r="U353">
        <v>42.44903</v>
      </c>
      <c r="V353" s="6">
        <v>3</v>
      </c>
    </row>
    <row r="354" spans="1:22" x14ac:dyDescent="0.3">
      <c r="A354" t="s">
        <v>340</v>
      </c>
      <c r="B354" t="s">
        <v>357</v>
      </c>
      <c r="C354" s="2">
        <v>8834</v>
      </c>
      <c r="D354" s="2">
        <v>200</v>
      </c>
      <c r="E354" s="3">
        <v>1.59604E-3</v>
      </c>
      <c r="F354" s="4">
        <v>78.999459999999999</v>
      </c>
      <c r="G354" s="4">
        <v>78.999459999999999</v>
      </c>
      <c r="H354" s="4">
        <v>78.999459999999999</v>
      </c>
      <c r="I354" s="4">
        <v>269.30296299999998</v>
      </c>
      <c r="J354" s="2">
        <v>10</v>
      </c>
      <c r="K354" s="4">
        <v>78.999459999999999</v>
      </c>
      <c r="L354" s="4">
        <v>78.999459999999999</v>
      </c>
      <c r="M354" s="4">
        <v>41.622570000000003</v>
      </c>
      <c r="N354" s="2">
        <v>10</v>
      </c>
      <c r="O354" s="4">
        <v>78.999459999999999</v>
      </c>
      <c r="P354" s="4">
        <v>78.999459999999999</v>
      </c>
      <c r="Q354" s="4">
        <v>28.005852000000001</v>
      </c>
      <c r="R354" s="2">
        <v>10</v>
      </c>
      <c r="S354" s="4">
        <v>78.999459999999999</v>
      </c>
      <c r="T354" s="4">
        <v>78.849812</v>
      </c>
      <c r="U354">
        <v>78.999459999999999</v>
      </c>
      <c r="V354" s="6">
        <v>5</v>
      </c>
    </row>
    <row r="355" spans="1:22" x14ac:dyDescent="0.3">
      <c r="A355" t="s">
        <v>340</v>
      </c>
      <c r="B355" t="s">
        <v>358</v>
      </c>
      <c r="C355" s="2">
        <v>8834</v>
      </c>
      <c r="D355" s="2">
        <v>300</v>
      </c>
      <c r="E355" s="3">
        <v>1.59604E-3</v>
      </c>
      <c r="F355" s="4">
        <v>120.42254</v>
      </c>
      <c r="G355" s="4">
        <v>120.42254</v>
      </c>
      <c r="H355" s="4">
        <v>120.42216500000001</v>
      </c>
      <c r="I355" s="4">
        <v>190.70999599999999</v>
      </c>
      <c r="J355" s="2">
        <v>5</v>
      </c>
      <c r="K355" s="4">
        <v>120.42254</v>
      </c>
      <c r="L355" s="4">
        <v>120.422465</v>
      </c>
      <c r="M355" s="4">
        <v>146.871881</v>
      </c>
      <c r="N355" s="2">
        <v>9</v>
      </c>
      <c r="O355" s="4">
        <v>120.42254</v>
      </c>
      <c r="P355" s="4">
        <v>120.422465</v>
      </c>
      <c r="Q355" s="4">
        <v>137.09808200000001</v>
      </c>
      <c r="R355" s="2">
        <v>9</v>
      </c>
      <c r="S355" s="4">
        <v>120.42254</v>
      </c>
      <c r="T355" s="4">
        <v>120.14471399999999</v>
      </c>
      <c r="U355">
        <v>120.42254</v>
      </c>
      <c r="V355" s="6">
        <v>1</v>
      </c>
    </row>
    <row r="356" spans="1:22" x14ac:dyDescent="0.3">
      <c r="A356" t="s">
        <v>340</v>
      </c>
      <c r="B356" t="s">
        <v>359</v>
      </c>
      <c r="C356" s="2">
        <v>8834</v>
      </c>
      <c r="D356" s="2">
        <v>400</v>
      </c>
      <c r="E356" s="3">
        <v>1.59604E-3</v>
      </c>
      <c r="F356" s="4">
        <v>162.06796</v>
      </c>
      <c r="G356" s="4">
        <v>162.06796</v>
      </c>
      <c r="H356" s="4">
        <v>162.06796</v>
      </c>
      <c r="I356" s="4">
        <v>60.627232999999997</v>
      </c>
      <c r="J356" s="2">
        <v>10</v>
      </c>
      <c r="K356" s="4">
        <v>162.06796</v>
      </c>
      <c r="L356" s="4">
        <v>162.06796</v>
      </c>
      <c r="M356" s="4">
        <v>1.6533960000000001</v>
      </c>
      <c r="N356" s="2">
        <v>10</v>
      </c>
      <c r="O356" s="4">
        <v>162.06796</v>
      </c>
      <c r="P356" s="4">
        <v>162.06796</v>
      </c>
      <c r="Q356" s="4">
        <v>0.32497599999999999</v>
      </c>
      <c r="R356" s="2">
        <v>10</v>
      </c>
      <c r="S356" s="4">
        <v>162.06796</v>
      </c>
      <c r="T356" s="4">
        <v>161.65466699999999</v>
      </c>
      <c r="U356">
        <v>162.06796</v>
      </c>
      <c r="V356" s="6">
        <v>2</v>
      </c>
    </row>
    <row r="357" spans="1:22" x14ac:dyDescent="0.3">
      <c r="A357" t="s">
        <v>340</v>
      </c>
      <c r="B357" t="s">
        <v>360</v>
      </c>
      <c r="C357" s="2">
        <v>8834</v>
      </c>
      <c r="D357" s="2">
        <v>500</v>
      </c>
      <c r="E357" s="3">
        <v>1.59604E-3</v>
      </c>
      <c r="F357" s="4">
        <v>202.68812</v>
      </c>
      <c r="G357" s="4">
        <v>202.57184000000001</v>
      </c>
      <c r="H357" s="4">
        <v>202.50807800000001</v>
      </c>
      <c r="I357" t="s">
        <v>25</v>
      </c>
      <c r="J357" s="2">
        <v>0</v>
      </c>
      <c r="K357" s="4">
        <v>202.68812</v>
      </c>
      <c r="L357" s="4">
        <v>202.66486599999999</v>
      </c>
      <c r="M357" s="4">
        <v>332.12782700000002</v>
      </c>
      <c r="N357" s="2">
        <v>5</v>
      </c>
      <c r="O357" s="4">
        <v>202.68812</v>
      </c>
      <c r="P357" s="4">
        <v>202.685282</v>
      </c>
      <c r="Q357" s="4">
        <v>285.67291399999999</v>
      </c>
      <c r="R357" s="2">
        <v>9</v>
      </c>
      <c r="S357" s="4">
        <v>202.67627999999999</v>
      </c>
      <c r="T357" s="4">
        <v>202.49923899999999</v>
      </c>
      <c r="U357">
        <v>202.68812</v>
      </c>
      <c r="V357" s="6">
        <v>0</v>
      </c>
    </row>
    <row r="358" spans="1:22" x14ac:dyDescent="0.3">
      <c r="A358" s="7" t="s">
        <v>389</v>
      </c>
      <c r="B358" s="7"/>
      <c r="C358" s="7"/>
      <c r="D358" s="7"/>
      <c r="E358" s="7"/>
      <c r="F358" s="7"/>
      <c r="G358" s="11">
        <f t="array" ref="G358">AVERAGE((F353:F357-G353:G357)/F353:F357)</f>
        <v>1.1473785439421813E-4</v>
      </c>
      <c r="H358" s="11">
        <f t="array" ref="H358">AVERAGE((F353:F357-H353:H357)/F353:F357)</f>
        <v>1.7827702767425689E-4</v>
      </c>
      <c r="I358" s="7"/>
      <c r="J358" s="8">
        <f>SUM(J353:J357)</f>
        <v>35</v>
      </c>
      <c r="K358" s="7">
        <f t="array" ref="K358">AVERAGE((F353:F357-K353:K357)/F353:F357)</f>
        <v>0</v>
      </c>
      <c r="L358" s="11">
        <f t="array" ref="L358">AVERAGE((F353:F357-L353:L357)/F353:F357)</f>
        <v>2.3070158802094224E-5</v>
      </c>
      <c r="M358" s="7"/>
      <c r="N358" s="8">
        <f>SUM(N353:N357)</f>
        <v>44</v>
      </c>
      <c r="O358" s="7">
        <v>0</v>
      </c>
      <c r="P358" s="12">
        <f t="array" ref="P358">AVERAGE((F353:F357-P353:P357)/F353:F357)</f>
        <v>2.924922860282209E-6</v>
      </c>
      <c r="Q358" s="7"/>
      <c r="R358" s="8">
        <f>SUM(R353:R357)</f>
        <v>48</v>
      </c>
      <c r="S358" s="11">
        <f t="array" ref="S358">AVERAGE((F353:F357-S353:S357)/F353:F357)</f>
        <v>1.1682973822053816E-5</v>
      </c>
      <c r="T358" s="11">
        <f t="array" ref="T358">AVERAGE((F353:F357-T353:T357)/F353:F357)</f>
        <v>2.3030551315425438E-3</v>
      </c>
      <c r="U358" s="7"/>
      <c r="V358" s="14">
        <f>SUM(V353:V357)</f>
        <v>11</v>
      </c>
    </row>
  </sheetData>
  <autoFilter ref="A1:R357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Combined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merge_results_to_xlsx.sh</dc:creator>
  <cp:lastModifiedBy>tu le</cp:lastModifiedBy>
  <dcterms:created xsi:type="dcterms:W3CDTF">2026-07-08T14:02:54Z</dcterms:created>
  <dcterms:modified xsi:type="dcterms:W3CDTF">2026-07-10T10:57:29Z</dcterms:modified>
</cp:coreProperties>
</file>