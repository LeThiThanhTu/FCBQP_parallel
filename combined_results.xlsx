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Tu\Desktop\summary\"/>
    </mc:Choice>
  </mc:AlternateContent>
  <xr:revisionPtr revIDLastSave="0" documentId="13_ncr:1_{63FFE18F-BBAA-4B58-8C95-80F58E70B9E0}" xr6:coauthVersionLast="47" xr6:coauthVersionMax="47" xr10:uidLastSave="{00000000-0000-0000-0000-000000000000}"/>
  <bookViews>
    <workbookView xWindow="-108" yWindow="-108" windowWidth="23256" windowHeight="12456" xr2:uid="{9F1707E2-7962-4DAF-B8A9-FD0E93B1D919}"/>
  </bookViews>
  <sheets>
    <sheet name="combined_results" sheetId="1" r:id="rId1"/>
  </sheets>
  <calcPr calcId="191029"/>
</workbook>
</file>

<file path=xl/calcChain.xml><?xml version="1.0" encoding="utf-8"?>
<calcChain xmlns="http://schemas.openxmlformats.org/spreadsheetml/2006/main">
  <c r="F349" i="1" l="1" a="1"/>
  <c r="F349" i="1" s="1"/>
  <c r="O215" i="1" a="1"/>
  <c r="O215" i="1" s="1"/>
  <c r="N215" i="1" a="1"/>
  <c r="N215" i="1" s="1"/>
  <c r="L127" i="1"/>
  <c r="O349" i="1" a="1"/>
  <c r="O349" i="1" s="1"/>
  <c r="N349" i="1" a="1"/>
  <c r="N349" i="1" s="1"/>
  <c r="K349" i="1" a="1"/>
  <c r="K349" i="1" s="1"/>
  <c r="J349" i="1" a="1"/>
  <c r="J349" i="1" s="1"/>
  <c r="G349" i="1" a="1"/>
  <c r="G349" i="1" s="1"/>
  <c r="O312" i="1" a="1"/>
  <c r="O312" i="1" s="1"/>
  <c r="N312" i="1" a="1"/>
  <c r="N312" i="1" s="1"/>
  <c r="J312" i="1" a="1"/>
  <c r="J312" i="1" s="1"/>
  <c r="K312" i="1" a="1"/>
  <c r="K312" i="1" s="1"/>
  <c r="F312" i="1" a="1"/>
  <c r="F312" i="1" s="1"/>
  <c r="G312" i="1" a="1"/>
  <c r="G312" i="1" s="1"/>
  <c r="G266" i="1" a="1"/>
  <c r="G266" i="1" s="1"/>
  <c r="Q349" i="1"/>
  <c r="M349" i="1"/>
  <c r="I349" i="1"/>
  <c r="Q312" i="1"/>
  <c r="M312" i="1"/>
  <c r="I312" i="1"/>
  <c r="O266" i="1" a="1"/>
  <c r="O266" i="1" s="1"/>
  <c r="N266" i="1" a="1"/>
  <c r="N266" i="1" s="1"/>
  <c r="K266" i="1" a="1"/>
  <c r="K266" i="1" s="1"/>
  <c r="J266" i="1" a="1"/>
  <c r="J266" i="1" s="1"/>
  <c r="F266" i="1" a="1"/>
  <c r="F266" i="1" s="1"/>
  <c r="G209" i="1" a="1"/>
  <c r="G209" i="1" s="1"/>
  <c r="Q266" i="1"/>
  <c r="M266" i="1"/>
  <c r="I266" i="1"/>
  <c r="K215" i="1" a="1"/>
  <c r="K215" i="1" s="1"/>
  <c r="J215" i="1" a="1"/>
  <c r="J215" i="1" s="1"/>
  <c r="F215" i="1" a="1"/>
  <c r="F215" i="1" s="1"/>
  <c r="G215" i="1" a="1"/>
  <c r="G215" i="1" s="1"/>
  <c r="F209" i="1" a="1"/>
  <c r="F209" i="1" s="1"/>
  <c r="N209" i="1" a="1"/>
  <c r="N209" i="1" s="1"/>
  <c r="O209" i="1" a="1"/>
  <c r="O209" i="1" s="1"/>
  <c r="J209" i="1" a="1"/>
  <c r="J209" i="1" s="1"/>
  <c r="K209" i="1" a="1"/>
  <c r="K209" i="1" s="1"/>
  <c r="K203" i="1" a="1"/>
  <c r="K203" i="1" s="1"/>
  <c r="Q209" i="1"/>
  <c r="M209" i="1"/>
  <c r="I209" i="1"/>
  <c r="Q215" i="1"/>
  <c r="M215" i="1"/>
  <c r="I215" i="1"/>
  <c r="O203" i="1" a="1"/>
  <c r="O203" i="1" s="1"/>
  <c r="N203" i="1" a="1"/>
  <c r="N203" i="1" s="1"/>
  <c r="J203" i="1" a="1"/>
  <c r="J203" i="1" s="1"/>
  <c r="F203" i="1" a="1"/>
  <c r="F203" i="1" s="1"/>
  <c r="G203" i="1" a="1"/>
  <c r="G203" i="1" s="1"/>
  <c r="G197" i="1" a="1"/>
  <c r="G197" i="1" s="1"/>
  <c r="Q203" i="1"/>
  <c r="M203" i="1"/>
  <c r="I203" i="1"/>
  <c r="O197" i="1" a="1"/>
  <c r="O197" i="1" s="1"/>
  <c r="N197" i="1" a="1"/>
  <c r="N197" i="1" s="1"/>
  <c r="K197" i="1" a="1"/>
  <c r="K197" i="1" s="1"/>
  <c r="J197" i="1" a="1"/>
  <c r="J197" i="1" s="1"/>
  <c r="F197" i="1" a="1"/>
  <c r="F197" i="1" s="1"/>
  <c r="G191" i="1" a="1"/>
  <c r="G191" i="1" s="1"/>
  <c r="Q197" i="1"/>
  <c r="M197" i="1"/>
  <c r="I197" i="1"/>
  <c r="O191" i="1" a="1"/>
  <c r="O191" i="1" s="1"/>
  <c r="N191" i="1" a="1"/>
  <c r="N191" i="1" s="1"/>
  <c r="K191" i="1" a="1"/>
  <c r="K191" i="1" s="1"/>
  <c r="J191" i="1" a="1"/>
  <c r="J191" i="1" s="1"/>
  <c r="F191" i="1" a="1"/>
  <c r="F191" i="1" s="1"/>
  <c r="F180" i="1" a="1"/>
  <c r="F180" i="1" s="1"/>
  <c r="Q191" i="1"/>
  <c r="M191" i="1"/>
  <c r="I191" i="1"/>
  <c r="O180" i="1" a="1"/>
  <c r="O180" i="1" s="1"/>
  <c r="N180" i="1" a="1"/>
  <c r="N180" i="1" s="1"/>
  <c r="K180" i="1" a="1"/>
  <c r="K180" i="1" s="1"/>
  <c r="J180" i="1" a="1"/>
  <c r="J180" i="1" s="1"/>
  <c r="G180" i="1" a="1"/>
  <c r="G180" i="1" s="1"/>
  <c r="F169" i="1" a="1"/>
  <c r="F169" i="1" s="1"/>
  <c r="Q180" i="1"/>
  <c r="M180" i="1"/>
  <c r="I180" i="1"/>
  <c r="J169" i="1" a="1"/>
  <c r="J169" i="1" s="1"/>
  <c r="N169" i="1" a="1"/>
  <c r="N169" i="1" s="1"/>
  <c r="O169" i="1" a="1"/>
  <c r="O169" i="1" s="1"/>
  <c r="K169" i="1" a="1"/>
  <c r="K169" i="1" s="1"/>
  <c r="G169" i="1" a="1"/>
  <c r="G169" i="1" s="1"/>
  <c r="O127" i="1" a="1"/>
  <c r="O127" i="1" s="1"/>
  <c r="Q169" i="1"/>
  <c r="M169" i="1"/>
  <c r="I169" i="1"/>
  <c r="Q148" i="1"/>
  <c r="P148" i="1"/>
  <c r="M148" i="1"/>
  <c r="L148" i="1"/>
  <c r="I148" i="1"/>
  <c r="H148" i="1"/>
  <c r="O85" i="1" a="1"/>
  <c r="O85" i="1" s="1"/>
  <c r="H127" i="1"/>
  <c r="Q127" i="1"/>
  <c r="M127" i="1"/>
  <c r="I127" i="1"/>
  <c r="P106" i="1"/>
  <c r="L106" i="1"/>
  <c r="H106" i="1"/>
  <c r="Q106" i="1"/>
  <c r="M106" i="1"/>
  <c r="I106" i="1"/>
  <c r="Q85" i="1"/>
  <c r="L85" i="1"/>
  <c r="M85" i="1"/>
  <c r="H85" i="1"/>
  <c r="I85" i="1"/>
  <c r="Q64" i="1"/>
  <c r="P64" i="1"/>
  <c r="M64" i="1"/>
  <c r="L64" i="1"/>
  <c r="I64" i="1"/>
  <c r="H64" i="1"/>
  <c r="Q43" i="1"/>
  <c r="P43" i="1"/>
  <c r="M43" i="1"/>
  <c r="L43" i="1"/>
  <c r="I43" i="1"/>
  <c r="H43" i="1"/>
  <c r="Q22" i="1"/>
  <c r="P22" i="1"/>
  <c r="M22" i="1"/>
  <c r="I22" i="1"/>
  <c r="L22" i="1"/>
  <c r="H22" i="1"/>
</calcChain>
</file>

<file path=xl/sharedStrings.xml><?xml version="1.0" encoding="utf-8"?>
<sst xmlns="http://schemas.openxmlformats.org/spreadsheetml/2006/main" count="601" uniqueCount="376">
  <si>
    <t>n</t>
  </si>
  <si>
    <t>k</t>
  </si>
  <si>
    <t>best-known obj</t>
  </si>
  <si>
    <t>GKD-c_1_n500_m50</t>
  </si>
  <si>
    <t>GKD-c_2_n500_m50</t>
  </si>
  <si>
    <t>GKD-c_3_n500_m50</t>
  </si>
  <si>
    <t>GKD-c_4_n500_m50</t>
  </si>
  <si>
    <t>GKD-c_5_n500_m50</t>
  </si>
  <si>
    <t>GKD-c_6_n500_m50</t>
  </si>
  <si>
    <t>GKD-c_7_n500_m50</t>
  </si>
  <si>
    <t>GKD-c_8_n500_m50</t>
  </si>
  <si>
    <t>GKD-c_9_n500_m50</t>
  </si>
  <si>
    <t>GKD-c_10_n500_m50</t>
  </si>
  <si>
    <t>GKD-c_11_n500_m50</t>
  </si>
  <si>
    <t>GKD-c_12_n500_m50</t>
  </si>
  <si>
    <t>GKD-c_13_n500_m50</t>
  </si>
  <si>
    <t>GKD-c_14_n500_m50</t>
  </si>
  <si>
    <t>GKD-c_15_n500_m50</t>
  </si>
  <si>
    <t>GKD-c_16_n500_m50</t>
  </si>
  <si>
    <t>GKD-c_17_n500_m50</t>
  </si>
  <si>
    <t>GKD-c_18_n500_m50</t>
  </si>
  <si>
    <t>GKD-c_19_n500_m50</t>
  </si>
  <si>
    <t>GKD-c_20_n500_m50</t>
  </si>
  <si>
    <t>SOM-b_1_n100_m10</t>
  </si>
  <si>
    <t>SOM-b_2_n100_m20</t>
  </si>
  <si>
    <t>SOM-b_3_n100_m30</t>
  </si>
  <si>
    <t>SOM-b_4_n100_m40</t>
  </si>
  <si>
    <t>SOM-b_5_n200_m20</t>
  </si>
  <si>
    <t>SOM-b_6_n200_m40</t>
  </si>
  <si>
    <t>SOM-b_7_n200_m60</t>
  </si>
  <si>
    <t>SOM-b_8_n200_m80</t>
  </si>
  <si>
    <t>SOM-b_9_n300_m30</t>
  </si>
  <si>
    <t>SOM-b_10_n300_m60</t>
  </si>
  <si>
    <t>SOM-b_11_n300_m90</t>
  </si>
  <si>
    <t>SOM-b_12_n300_m120</t>
  </si>
  <si>
    <t>SOM-b_13_n400_m40</t>
  </si>
  <si>
    <t>SOM-b_14_n400_m80</t>
  </si>
  <si>
    <t>SOM-b_15_n400_m120</t>
  </si>
  <si>
    <t>SOM-b_16_n400_m160</t>
  </si>
  <si>
    <t>SOM-b_17_n500_m50</t>
  </si>
  <si>
    <t>SOM-b_18_n500_m100</t>
  </si>
  <si>
    <t>SOM-b_19_n500_m150</t>
  </si>
  <si>
    <t>SOM-b_20_n500_m200</t>
  </si>
  <si>
    <t>MDG-a_1_n500_m50</t>
  </si>
  <si>
    <t>MDG-a_2_n500_m50</t>
  </si>
  <si>
    <t>MDG-a_3_n500_m50</t>
  </si>
  <si>
    <t>MDG-a_4_n500_m50</t>
  </si>
  <si>
    <t>MDG-a_5_n500_m50</t>
  </si>
  <si>
    <t>MDG-a_6_n500_m50</t>
  </si>
  <si>
    <t>MDG-a_7_n500_m50</t>
  </si>
  <si>
    <t>MDG-a_8_n500_m50</t>
  </si>
  <si>
    <t>MDG-a_9_n500_m50</t>
  </si>
  <si>
    <t>MDG-a_10_n500_m50</t>
  </si>
  <si>
    <t>MDG-a_11_n500_m50</t>
  </si>
  <si>
    <t>MDG-a_12_n500_m50</t>
  </si>
  <si>
    <t>MDG-a_13_n500_m50</t>
  </si>
  <si>
    <t>MDG-a_14_n500_m50</t>
  </si>
  <si>
    <t>MDG-a_15_n500_m50</t>
  </si>
  <si>
    <t>MDG-a_16_n500_m50</t>
  </si>
  <si>
    <t>MDG-a_17_n500_m50</t>
  </si>
  <si>
    <t>MDG-a_18_n500_m50</t>
  </si>
  <si>
    <t>MDG-a_19_n500_m50</t>
  </si>
  <si>
    <t>MDG-a_20_n500_m50</t>
  </si>
  <si>
    <t>MDG-a_21_n2000_m200</t>
  </si>
  <si>
    <t>MDG-a_22_n2000_m200</t>
  </si>
  <si>
    <t>MDG-a_23_n2000_m200</t>
  </si>
  <si>
    <t>MDG-a_24_n2000_m200</t>
  </si>
  <si>
    <t>MDG-a_25_n2000_m200</t>
  </si>
  <si>
    <t>MDG-a_26_n2000_m200</t>
  </si>
  <si>
    <t>MDG-a_27_n2000_m200</t>
  </si>
  <si>
    <t>MDG-a_28_n2000_m200</t>
  </si>
  <si>
    <t>MDG-a_29_n2000_m200</t>
  </si>
  <si>
    <t>MDG-a_30_n2000_m200</t>
  </si>
  <si>
    <t>MDG-a_31_n2000_m200</t>
  </si>
  <si>
    <t>MDG-a_32_n2000_m200</t>
  </si>
  <si>
    <t>MDG-a_33_n2000_m200</t>
  </si>
  <si>
    <t>MDG-a_34_n2000_m200</t>
  </si>
  <si>
    <t>MDG-a_35_n2000_m200</t>
  </si>
  <si>
    <t>MDG-a_36_n2000_m200</t>
  </si>
  <si>
    <t>MDG-a_37_n2000_m200</t>
  </si>
  <si>
    <t>MDG-a_38_n2000_m200</t>
  </si>
  <si>
    <t>MDG-a_39_n2000_m200</t>
  </si>
  <si>
    <t>MDG-a_40_n2000_m200</t>
  </si>
  <si>
    <t>MDG-b_1_n500_m50</t>
  </si>
  <si>
    <t>MDG-b_2_n500_m50</t>
  </si>
  <si>
    <t>MDG-b_3_n500_m50</t>
  </si>
  <si>
    <t>MDG-b_4_n500_m50</t>
  </si>
  <si>
    <t>MDG-b_5_n500_m50</t>
  </si>
  <si>
    <t>MDG-b_6_n500_m50</t>
  </si>
  <si>
    <t>MDG-b_7_n500_m50</t>
  </si>
  <si>
    <t>MDG-b_8_n500_m50</t>
  </si>
  <si>
    <t>MDG-b_9_n500_m50</t>
  </si>
  <si>
    <t>MDG-b_10_n500_m50</t>
  </si>
  <si>
    <t>MDG-b_11_n500_m50</t>
  </si>
  <si>
    <t>MDG-b_12_n500_m50</t>
  </si>
  <si>
    <t>MDG-b_13_n500_m50</t>
  </si>
  <si>
    <t>MDG-b_14_n500_m50</t>
  </si>
  <si>
    <t>MDG-b_15_n500_m50</t>
  </si>
  <si>
    <t>MDG-b_16_n500_m50</t>
  </si>
  <si>
    <t>MDG-b_17_n500_m50</t>
  </si>
  <si>
    <t>MDG-b_18_n500_m50</t>
  </si>
  <si>
    <t>MDG-b_19_n500_m50</t>
  </si>
  <si>
    <t>MDG-b_20_n500_m50</t>
  </si>
  <si>
    <t>MDG-b_21_n2000_m200</t>
  </si>
  <si>
    <t>MDG-b_22_n2000_m200</t>
  </si>
  <si>
    <t>MDG-b_23_n2000_m200</t>
  </si>
  <si>
    <t>MDG-b_24_n2000_m200</t>
  </si>
  <si>
    <t>MDG-b_25_n2000_m200</t>
  </si>
  <si>
    <t>MDG-b_26_n2000_m200</t>
  </si>
  <si>
    <t>MDG-b_27_n2000_m200</t>
  </si>
  <si>
    <t>MDG-b_28_n2000_m200</t>
  </si>
  <si>
    <t>MDG-b_29_n2000_m200</t>
  </si>
  <si>
    <t>MDG-b_30_n2000_m200</t>
  </si>
  <si>
    <t>MDG-b_31_n2000_m200</t>
  </si>
  <si>
    <t>MDG-b_32_n2000_m200</t>
  </si>
  <si>
    <t>MDG-b_33_n2000_m200</t>
  </si>
  <si>
    <t>MDG-b_34_n2000_m200</t>
  </si>
  <si>
    <t>MDG-b_35_n2000_m200</t>
  </si>
  <si>
    <t>MDG-b_36_n2000_m200</t>
  </si>
  <si>
    <t>MDG-b_37_n2000_m200</t>
  </si>
  <si>
    <t>MDG-b_38_n2000_m200</t>
  </si>
  <si>
    <t>MDG-b_39_n2000_m200</t>
  </si>
  <si>
    <t>MDG-b_40_n2000_m200</t>
  </si>
  <si>
    <t>MDG-c_1_n3000_m300</t>
  </si>
  <si>
    <t>MDG-c_2_n3000_m300</t>
  </si>
  <si>
    <t>MDG-c_3_n3000_m300</t>
  </si>
  <si>
    <t>MDG-c_4_n3000_m300</t>
  </si>
  <si>
    <t>MDG-c_5_n3000_m300</t>
  </si>
  <si>
    <t>unknown</t>
  </si>
  <si>
    <t>MDG-c_6_n3000_m400</t>
  </si>
  <si>
    <t>MDG-c_7_n3000_m400</t>
  </si>
  <si>
    <t>MDG-c_8_n3000_m400</t>
  </si>
  <si>
    <t>MDG-c_9_n3000_m400</t>
  </si>
  <si>
    <t>MDG-c_10_n3000_m400</t>
  </si>
  <si>
    <t>MDG-c_11_n3000_m500</t>
  </si>
  <si>
    <t>MDG-c_12_n3000_m500</t>
  </si>
  <si>
    <t>MDG-c_13_n3000_m500</t>
  </si>
  <si>
    <t>MDG-c_14_n3000_m500</t>
  </si>
  <si>
    <t>MDG-c_15_n3000_m500</t>
  </si>
  <si>
    <t>MDG-c_16_n3000_m600</t>
  </si>
  <si>
    <t>MDG-c_17_n3000_m600</t>
  </si>
  <si>
    <t>MDG-c_18_n3000_m600</t>
  </si>
  <si>
    <t>MDG-c_19_n3000_m600</t>
  </si>
  <si>
    <t>MDG-c_20_n3000_m600</t>
  </si>
  <si>
    <t>bqp2500-1</t>
  </si>
  <si>
    <t>bqp2500-2</t>
  </si>
  <si>
    <t>bqp2500-3</t>
  </si>
  <si>
    <t>bqp2500-4</t>
  </si>
  <si>
    <t>bqp2500-5</t>
  </si>
  <si>
    <t>bqp2500-6</t>
  </si>
  <si>
    <t>bqp2500-7</t>
  </si>
  <si>
    <t>bqp2500-8</t>
  </si>
  <si>
    <t>bqp2500-9</t>
  </si>
  <si>
    <t>bqp2500-10</t>
  </si>
  <si>
    <t>p3000_1</t>
  </si>
  <si>
    <t>p3000_2</t>
  </si>
  <si>
    <t>p3000_3</t>
  </si>
  <si>
    <t>p3000_4</t>
  </si>
  <si>
    <t>p3000_5</t>
  </si>
  <si>
    <t>p5000_1</t>
  </si>
  <si>
    <t>p5000_2</t>
  </si>
  <si>
    <t>p5000_3</t>
  </si>
  <si>
    <t>p5000_4</t>
  </si>
  <si>
    <t>p5000_5</t>
  </si>
  <si>
    <t>LA_n2000_m100</t>
  </si>
  <si>
    <t>LA_n2000_m200</t>
  </si>
  <si>
    <t>LA_n2000_m300</t>
  </si>
  <si>
    <t>LA_n2000_m400</t>
  </si>
  <si>
    <t>LA_n2000_m500</t>
  </si>
  <si>
    <t>LA_n3000_m100</t>
  </si>
  <si>
    <t>LA_n3000_m200</t>
  </si>
  <si>
    <t>LA_n3000_m300</t>
  </si>
  <si>
    <t>LA_n3000_m400</t>
  </si>
  <si>
    <t>LA_n3000_m500</t>
  </si>
  <si>
    <t>LA_n5000_m100</t>
  </si>
  <si>
    <t>LA_n5000_m200</t>
  </si>
  <si>
    <t>LA_n5000_m300</t>
  </si>
  <si>
    <t>LA_n5000_m400</t>
  </si>
  <si>
    <t>LA_n5000_m500</t>
  </si>
  <si>
    <t>LA_n6000_m100</t>
  </si>
  <si>
    <t>LA_n6000_m200</t>
  </si>
  <si>
    <t>LA_n6000_m300</t>
  </si>
  <si>
    <t>LA_n6000_m400</t>
  </si>
  <si>
    <t>LA_n6000_m500</t>
  </si>
  <si>
    <t>Bibsonomy_n9269_m100</t>
  </si>
  <si>
    <t>Bibsonomy_n9269_m200</t>
  </si>
  <si>
    <t>Bibsonomy_n9269_m300</t>
  </si>
  <si>
    <t>Bibsonomy_n9269_m400</t>
  </si>
  <si>
    <t>Bibsonomy_n9269_m500</t>
  </si>
  <si>
    <t>DBLP_n7159_m100</t>
  </si>
  <si>
    <t>DBLP_n7159_m200</t>
  </si>
  <si>
    <t>DBLP_n7159_m300</t>
  </si>
  <si>
    <t>DBLP_n7159_m400</t>
  </si>
  <si>
    <t>DBLP_n7159_m500</t>
  </si>
  <si>
    <t>IMDB_n1021_m100</t>
  </si>
  <si>
    <t>IMDB_n1021_m200</t>
  </si>
  <si>
    <t>IMDB_n1021_m300</t>
  </si>
  <si>
    <t>IMDB_n1021_m400</t>
  </si>
  <si>
    <t>IMDB_n1021_m500</t>
  </si>
  <si>
    <t>StackOverflow_n8834_m100</t>
  </si>
  <si>
    <t>StackOverflow_n8834_m200</t>
  </si>
  <si>
    <t>StackOverflow_n8834_m300</t>
  </si>
  <si>
    <t>StackOverflow_n8834_m400</t>
  </si>
  <si>
    <t>StackOverflow_n8834_m500</t>
  </si>
  <si>
    <t>synthetic_10_n7000_m100</t>
  </si>
  <si>
    <t>synthetic_10_n7000_m200</t>
  </si>
  <si>
    <t>synthetic_10_n7000_m300</t>
  </si>
  <si>
    <t>synthetic_10_n7000_m400</t>
  </si>
  <si>
    <t>synthetic_10_n7000_m500</t>
  </si>
  <si>
    <t>synthetic_1_n7000_m100</t>
  </si>
  <si>
    <t>synthetic_1_n7000_m200</t>
  </si>
  <si>
    <t>synthetic_1_n7000_m300</t>
  </si>
  <si>
    <t>synthetic_1_n7000_m400</t>
  </si>
  <si>
    <t>synthetic_1_n7000_m500</t>
  </si>
  <si>
    <t>synthetic_2_n7000_m100</t>
  </si>
  <si>
    <t>synthetic_2_n7000_m200</t>
  </si>
  <si>
    <t>synthetic_2_n7000_m300</t>
  </si>
  <si>
    <t>synthetic_2_n7000_m400</t>
  </si>
  <si>
    <t>synthetic_2_n7000_m500</t>
  </si>
  <si>
    <t>synthetic_3_n7000_m100</t>
  </si>
  <si>
    <t>synthetic_3_n7000_m200</t>
  </si>
  <si>
    <t>synthetic_3_n7000_m300</t>
  </si>
  <si>
    <t>synthetic_3_n7000_m400</t>
  </si>
  <si>
    <t>synthetic_3_n7000_m500</t>
  </si>
  <si>
    <t>synthetic_4_n7000_m100</t>
  </si>
  <si>
    <t>synthetic_4_n7000_m200</t>
  </si>
  <si>
    <t>synthetic_4_n7000_m300</t>
  </si>
  <si>
    <t>synthetic_4_n7000_m400</t>
  </si>
  <si>
    <t>synthetic_4_n7000_m500</t>
  </si>
  <si>
    <t>synthetic_5_n7000_m100</t>
  </si>
  <si>
    <t>synthetic_5_n7000_m200</t>
  </si>
  <si>
    <t>synthetic_5_n7000_m300</t>
  </si>
  <si>
    <t>synthetic_5_n7000_m400</t>
  </si>
  <si>
    <t>synthetic_5_n7000_m500</t>
  </si>
  <si>
    <t>synthetic_6_n7000_m100</t>
  </si>
  <si>
    <t>synthetic_6_n7000_m200</t>
  </si>
  <si>
    <t>synthetic_6_n7000_m300</t>
  </si>
  <si>
    <t>synthetic_6_n7000_m400</t>
  </si>
  <si>
    <t>synthetic_6_n7000_m500</t>
  </si>
  <si>
    <t>synthetic_7_n7000_m100</t>
  </si>
  <si>
    <t>synthetic_7_n7000_m200</t>
  </si>
  <si>
    <t>synthetic_7_n7000_m300</t>
  </si>
  <si>
    <t>synthetic_7_n7000_m400</t>
  </si>
  <si>
    <t>synthetic_7_n7000_m500</t>
  </si>
  <si>
    <t>synthetic_8_n7000_m100</t>
  </si>
  <si>
    <t>synthetic_8_n7000_m200</t>
  </si>
  <si>
    <t>synthetic_8_n7000_m300</t>
  </si>
  <si>
    <t>synthetic_8_n7000_m400</t>
  </si>
  <si>
    <t>synthetic_8_n7000_m500</t>
  </si>
  <si>
    <t>synthetic_9_n7000_m100</t>
  </si>
  <si>
    <t>synthetic_9_n7000_m200</t>
  </si>
  <si>
    <t>synthetic_9_n7000_m300</t>
  </si>
  <si>
    <t>synthetic_9_n7000_m400</t>
  </si>
  <si>
    <t>synthetic_9_n7000_m500</t>
  </si>
  <si>
    <t>4elt.graph</t>
  </si>
  <si>
    <t>bcsstk29.graph</t>
  </si>
  <si>
    <t>bcsstk33.graph</t>
  </si>
  <si>
    <t>crack.graph</t>
  </si>
  <si>
    <t>cti.graph</t>
  </si>
  <si>
    <t>fe_4elt2.graph</t>
  </si>
  <si>
    <t>fe_sphere.graph</t>
  </si>
  <si>
    <t>whitaker3.graph</t>
  </si>
  <si>
    <t>ca-AstroPh_n18772_m57</t>
  </si>
  <si>
    <t>CA-CondMat_n23133_m26</t>
  </si>
  <si>
    <t>CA-GrQc_n5241_m44</t>
  </si>
  <si>
    <t>CA-HepPh_n12006_m239</t>
  </si>
  <si>
    <t>CA-HepTh_n9875_m32</t>
  </si>
  <si>
    <t>email_n1133_m12</t>
  </si>
  <si>
    <t>jazz_n198_m30</t>
  </si>
  <si>
    <t>brock200_2_m12</t>
  </si>
  <si>
    <t>brock200_4_m17</t>
  </si>
  <si>
    <t>brock400_2_m29</t>
  </si>
  <si>
    <t>brock400_4_m33</t>
  </si>
  <si>
    <t>brock800_2_m24</t>
  </si>
  <si>
    <t>brock800_4_m26</t>
  </si>
  <si>
    <t>C1000.9_m68</t>
  </si>
  <si>
    <t>C125.9_m34</t>
  </si>
  <si>
    <t>C2000.5_m16</t>
  </si>
  <si>
    <t>C2000.9_m80</t>
  </si>
  <si>
    <t>C250.9_m44</t>
  </si>
  <si>
    <t>C4000.5_m18</t>
  </si>
  <si>
    <t>C500.9_m57</t>
  </si>
  <si>
    <t>DSJC1000_5_m15</t>
  </si>
  <si>
    <t>DSJC500_5_m13</t>
  </si>
  <si>
    <t>gen200_p0.9_44_m44</t>
  </si>
  <si>
    <t>gen200_p0.9_55_m55</t>
  </si>
  <si>
    <t>gen400_p0.9_55_m55</t>
  </si>
  <si>
    <t>gen400_p0.9_65_m65</t>
  </si>
  <si>
    <t>gen400_p0.9_75_m75</t>
  </si>
  <si>
    <t>hamming10-4_m40</t>
  </si>
  <si>
    <t>hamming8-4_m16</t>
  </si>
  <si>
    <t>keller4_m11</t>
  </si>
  <si>
    <t>keller5_m27</t>
  </si>
  <si>
    <t>keller6_m59</t>
  </si>
  <si>
    <t>MANN_a27_m126</t>
  </si>
  <si>
    <t>MANN_a45_m345</t>
  </si>
  <si>
    <t>MANN_a81_m1100</t>
  </si>
  <si>
    <t>p_hat1500-1_m12</t>
  </si>
  <si>
    <t>p_hat1500-2_m65</t>
  </si>
  <si>
    <t>p_hat1500-3_m94</t>
  </si>
  <si>
    <t>p_hat300-1_m8</t>
  </si>
  <si>
    <t>p_hat300-2_m25</t>
  </si>
  <si>
    <t>p_hat300-3_m36</t>
  </si>
  <si>
    <t>p_hat700-1_m11</t>
  </si>
  <si>
    <t>p_hat700-2_m44</t>
  </si>
  <si>
    <t>p_hat700-3_m62</t>
  </si>
  <si>
    <t>frb100-40</t>
  </si>
  <si>
    <t>frb30-15-1</t>
  </si>
  <si>
    <t>frb30-15-2</t>
  </si>
  <si>
    <t>frb30-15-3</t>
  </si>
  <si>
    <t>frb30-15-4</t>
  </si>
  <si>
    <t>frb30-15-5</t>
  </si>
  <si>
    <t>frb35-17-1</t>
  </si>
  <si>
    <t>frb35-17-2</t>
  </si>
  <si>
    <t>frb35-17-3</t>
  </si>
  <si>
    <t>frb35-17-4</t>
  </si>
  <si>
    <t>frb35-17-5</t>
  </si>
  <si>
    <t>frb40-19-1</t>
  </si>
  <si>
    <t>frb40-19-2</t>
  </si>
  <si>
    <t>frb40-19-3</t>
  </si>
  <si>
    <t>frb40-19-4</t>
  </si>
  <si>
    <t>frb40-19-5</t>
  </si>
  <si>
    <t>frb45-21-1</t>
  </si>
  <si>
    <t>frb45-21-2</t>
  </si>
  <si>
    <t>frb45-21-3</t>
  </si>
  <si>
    <t>frb45-21-4</t>
  </si>
  <si>
    <t>frb45-21-5</t>
  </si>
  <si>
    <t>frb50-23-1</t>
  </si>
  <si>
    <t>frb50-23-2</t>
  </si>
  <si>
    <t>frb50-23-3</t>
  </si>
  <si>
    <t>frb50-23-4</t>
  </si>
  <si>
    <t>frb50-23-5</t>
  </si>
  <si>
    <t>frb53-24-1</t>
  </si>
  <si>
    <t>frb53-24-2</t>
  </si>
  <si>
    <t>frb53-24-3</t>
  </si>
  <si>
    <t>frb53-24-4</t>
  </si>
  <si>
    <t>frb53-24-5</t>
  </si>
  <si>
    <t>frb59-26-1</t>
  </si>
  <si>
    <t>frb59-26-2</t>
  </si>
  <si>
    <t>frb59-26-3</t>
  </si>
  <si>
    <t>frb59-26-4</t>
  </si>
  <si>
    <t>frb59-26-5</t>
  </si>
  <si>
    <t>Dataset</t>
  </si>
  <si>
    <t>Instance</t>
  </si>
  <si>
    <t>best found obj (16 cores)</t>
  </si>
  <si>
    <t xml:space="preserve"> average obj (16 cores)</t>
  </si>
  <si>
    <t xml:space="preserve"> average TTS (16 cores)</t>
  </si>
  <si>
    <t xml:space="preserve">#Succ (16 cores) </t>
  </si>
  <si>
    <t xml:space="preserve"> best found obj (8 cores)</t>
  </si>
  <si>
    <t>average obj (8 cores)</t>
  </si>
  <si>
    <t xml:space="preserve"> average TTS (8 cores)</t>
  </si>
  <si>
    <t>#Succ (8 cores)</t>
  </si>
  <si>
    <t xml:space="preserve"> best found obj (1 core)</t>
  </si>
  <si>
    <t>average obj (1 core)</t>
  </si>
  <si>
    <t xml:space="preserve"> average TTS (1 core)</t>
  </si>
  <si>
    <t xml:space="preserve">#Succ (1 core) </t>
  </si>
  <si>
    <t>Summary</t>
  </si>
  <si>
    <t>MDP/GKD-c</t>
  </si>
  <si>
    <t>MDP/SOM-b</t>
  </si>
  <si>
    <t>MDP/MDG-a(1-20)</t>
  </si>
  <si>
    <t>MDP/MDG-a(21-40)</t>
  </si>
  <si>
    <t>MDP/MDG-b (1-20)</t>
  </si>
  <si>
    <t>MDP/MDG-b(21-40)</t>
  </si>
  <si>
    <t>MDP/LA</t>
  </si>
  <si>
    <t>MDP/MDG-c</t>
  </si>
  <si>
    <t>MDP/ORLIB</t>
  </si>
  <si>
    <t>MDP/PI</t>
  </si>
  <si>
    <t>MDP/StackOverflow</t>
  </si>
  <si>
    <t>MDP/Bibsonomy</t>
  </si>
  <si>
    <t>MDP/IMDB</t>
  </si>
  <si>
    <t>MDP/DBLP</t>
  </si>
  <si>
    <t>MDP/SyntheticTF</t>
  </si>
  <si>
    <t>MCP/Set_1</t>
  </si>
  <si>
    <t>MCP/DIMACS</t>
  </si>
  <si>
    <t>MCP/BHOSLIB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</si>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</sst>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00E+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rgb="FF000000"/>
      <name val="Bookman Old Style"/>
      <family val="1"/>
    </font>
    <font>
      <sz val="11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8" fillId="35" borderId="0" xfId="0" applyFont="1" applyFill="1"/>
    <xf numFmtId="2" fontId="0" fillId="33" borderId="0" xfId="0" applyNumberFormat="1" applyFill="1"/>
    <xf numFmtId="164" fontId="0" fillId="36" borderId="0" xfId="0" applyNumberFormat="1" applyFill="1"/>
    <xf numFmtId="164" fontId="0" fillId="35" borderId="0" xfId="0" applyNumberFormat="1" applyFill="1"/>
    <xf numFmtId="166" fontId="0" fillId="36" borderId="0" xfId="0" applyNumberFormat="1" applyFill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E64E-854A-495C-BC7E-B62B413ED4D2}">
  <dimension ref="A1:Q372"/>
  <sheetViews>
    <sheetView tabSelected="1" topLeftCell="A352" workbookViewId="0">
      <selection activeCell="B352" sqref="B352"/>
    </sheetView>
  </sheetViews>
  <sheetFormatPr defaultRowHeight="14.4" x14ac:dyDescent="0.3"/>
  <cols>
    <col min="1" max="1" width="20.88671875" customWidth="1"/>
    <col min="2" max="2" width="29.77734375" customWidth="1"/>
    <col min="4" max="4" width="11.21875" bestFit="1" customWidth="1"/>
    <col min="5" max="5" width="19.77734375" customWidth="1"/>
    <col min="6" max="6" width="26" customWidth="1"/>
    <col min="7" max="7" width="27.33203125" customWidth="1"/>
    <col min="8" max="8" width="22.77734375" customWidth="1"/>
    <col min="9" max="9" width="26.6640625" customWidth="1"/>
    <col min="10" max="10" width="30.44140625" customWidth="1"/>
    <col min="11" max="12" width="22.5546875" customWidth="1"/>
    <col min="13" max="13" width="31.33203125" customWidth="1"/>
    <col min="14" max="14" width="23.6640625" customWidth="1"/>
    <col min="15" max="15" width="26.6640625" customWidth="1"/>
    <col min="16" max="16" width="21.77734375" customWidth="1"/>
    <col min="17" max="17" width="28.6640625" customWidth="1"/>
  </cols>
  <sheetData>
    <row r="1" spans="1:17" x14ac:dyDescent="0.3">
      <c r="A1" t="s">
        <v>342</v>
      </c>
      <c r="B1" t="s">
        <v>343</v>
      </c>
      <c r="C1" t="s">
        <v>0</v>
      </c>
      <c r="D1" t="s">
        <v>1</v>
      </c>
      <c r="E1" t="s">
        <v>2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349</v>
      </c>
      <c r="L1" t="s">
        <v>350</v>
      </c>
      <c r="M1" t="s">
        <v>351</v>
      </c>
      <c r="N1" t="s">
        <v>352</v>
      </c>
      <c r="O1" t="s">
        <v>353</v>
      </c>
      <c r="P1" t="s">
        <v>354</v>
      </c>
      <c r="Q1" t="s">
        <v>355</v>
      </c>
    </row>
    <row r="2" spans="1:17" x14ac:dyDescent="0.3">
      <c r="A2" t="s">
        <v>357</v>
      </c>
      <c r="B2" t="s">
        <v>3</v>
      </c>
      <c r="E2">
        <v>19485.186969999999</v>
      </c>
      <c r="F2">
        <v>19485.186969999999</v>
      </c>
      <c r="G2">
        <v>19485.186969999999</v>
      </c>
      <c r="H2">
        <v>4.9230999999999997E-2</v>
      </c>
      <c r="I2">
        <v>10</v>
      </c>
      <c r="J2">
        <v>19485.186969999999</v>
      </c>
      <c r="K2">
        <v>19485.186969999999</v>
      </c>
      <c r="L2">
        <v>4.5720999999999998E-2</v>
      </c>
      <c r="M2">
        <v>10</v>
      </c>
      <c r="N2">
        <v>19485.186969999999</v>
      </c>
      <c r="O2">
        <v>19485.186969999999</v>
      </c>
      <c r="P2">
        <v>4.2889999999999998E-2</v>
      </c>
      <c r="Q2">
        <v>10</v>
      </c>
    </row>
    <row r="3" spans="1:17" x14ac:dyDescent="0.3">
      <c r="B3" t="s">
        <v>4</v>
      </c>
      <c r="E3">
        <v>19701.534769999998</v>
      </c>
      <c r="F3">
        <v>19701.534769999998</v>
      </c>
      <c r="G3">
        <v>19701.534769999998</v>
      </c>
      <c r="H3">
        <v>4.6091E-2</v>
      </c>
      <c r="I3">
        <v>10</v>
      </c>
      <c r="J3">
        <v>19701.534769999998</v>
      </c>
      <c r="K3">
        <v>19701.534769999998</v>
      </c>
      <c r="L3">
        <v>4.6189000000000001E-2</v>
      </c>
      <c r="M3">
        <v>10</v>
      </c>
      <c r="N3">
        <v>19701.534769999998</v>
      </c>
      <c r="O3">
        <v>19701.534769999998</v>
      </c>
      <c r="P3">
        <v>4.6469999999999997E-2</v>
      </c>
      <c r="Q3">
        <v>10</v>
      </c>
    </row>
    <row r="4" spans="1:17" x14ac:dyDescent="0.3">
      <c r="B4" t="s">
        <v>5</v>
      </c>
      <c r="E4">
        <v>19547.206849999999</v>
      </c>
      <c r="F4">
        <v>19547.206849999999</v>
      </c>
      <c r="G4">
        <v>19547.206849999999</v>
      </c>
      <c r="H4">
        <v>4.5003000000000001E-2</v>
      </c>
      <c r="I4">
        <v>10</v>
      </c>
      <c r="J4">
        <v>19547.206849999999</v>
      </c>
      <c r="K4">
        <v>19547.206849999999</v>
      </c>
      <c r="L4">
        <v>4.4586000000000001E-2</v>
      </c>
      <c r="M4">
        <v>10</v>
      </c>
      <c r="N4">
        <v>19547.206849999999</v>
      </c>
      <c r="O4">
        <v>19547.206849999999</v>
      </c>
      <c r="P4">
        <v>4.3681999999999999E-2</v>
      </c>
      <c r="Q4">
        <v>10</v>
      </c>
    </row>
    <row r="5" spans="1:17" x14ac:dyDescent="0.3">
      <c r="B5" t="s">
        <v>6</v>
      </c>
      <c r="E5">
        <v>19596.468379999998</v>
      </c>
      <c r="F5">
        <v>19596.468379999998</v>
      </c>
      <c r="G5">
        <v>19596.468379999998</v>
      </c>
      <c r="H5">
        <v>4.5197000000000001E-2</v>
      </c>
      <c r="I5">
        <v>10</v>
      </c>
      <c r="J5">
        <v>19596.468379999998</v>
      </c>
      <c r="K5">
        <v>19596.468379999998</v>
      </c>
      <c r="L5">
        <v>4.5859999999999998E-2</v>
      </c>
      <c r="M5">
        <v>10</v>
      </c>
      <c r="N5">
        <v>19596.468379999998</v>
      </c>
      <c r="O5">
        <v>19596.468379999998</v>
      </c>
      <c r="P5">
        <v>4.2549999999999998E-2</v>
      </c>
      <c r="Q5">
        <v>10</v>
      </c>
    </row>
    <row r="6" spans="1:17" x14ac:dyDescent="0.3">
      <c r="B6" t="s">
        <v>7</v>
      </c>
      <c r="E6">
        <v>19602.62199</v>
      </c>
      <c r="F6">
        <v>19602.62199</v>
      </c>
      <c r="G6">
        <v>19602.62199</v>
      </c>
      <c r="H6">
        <v>4.5920999999999997E-2</v>
      </c>
      <c r="I6">
        <v>10</v>
      </c>
      <c r="J6">
        <v>19602.62199</v>
      </c>
      <c r="K6">
        <v>19602.62199</v>
      </c>
      <c r="L6">
        <v>4.5094000000000002E-2</v>
      </c>
      <c r="M6">
        <v>10</v>
      </c>
      <c r="N6">
        <v>19602.62199</v>
      </c>
      <c r="O6">
        <v>19602.62199</v>
      </c>
      <c r="P6">
        <v>4.4417999999999999E-2</v>
      </c>
      <c r="Q6">
        <v>10</v>
      </c>
    </row>
    <row r="7" spans="1:17" x14ac:dyDescent="0.3">
      <c r="B7" t="s">
        <v>8</v>
      </c>
      <c r="E7">
        <v>19421.539079999999</v>
      </c>
      <c r="F7">
        <v>19421.539079999999</v>
      </c>
      <c r="G7">
        <v>19421.539079999999</v>
      </c>
      <c r="H7">
        <v>4.5723E-2</v>
      </c>
      <c r="I7">
        <v>10</v>
      </c>
      <c r="J7">
        <v>19421.539079999999</v>
      </c>
      <c r="K7">
        <v>19421.539079999999</v>
      </c>
      <c r="L7">
        <v>4.3568999999999997E-2</v>
      </c>
      <c r="M7">
        <v>10</v>
      </c>
      <c r="N7">
        <v>19421.539079999999</v>
      </c>
      <c r="O7">
        <v>19421.539079999999</v>
      </c>
      <c r="P7">
        <v>4.2841999999999998E-2</v>
      </c>
      <c r="Q7">
        <v>10</v>
      </c>
    </row>
    <row r="8" spans="1:17" x14ac:dyDescent="0.3">
      <c r="B8" t="s">
        <v>9</v>
      </c>
      <c r="E8">
        <v>19534.30358</v>
      </c>
      <c r="F8">
        <v>19534.30358</v>
      </c>
      <c r="G8">
        <v>19534.30358</v>
      </c>
      <c r="H8">
        <v>4.5927999999999997E-2</v>
      </c>
      <c r="I8">
        <v>10</v>
      </c>
      <c r="J8">
        <v>19534.30358</v>
      </c>
      <c r="K8">
        <v>19534.30358</v>
      </c>
      <c r="L8">
        <v>4.4740000000000002E-2</v>
      </c>
      <c r="M8">
        <v>10</v>
      </c>
      <c r="N8">
        <v>19534.30358</v>
      </c>
      <c r="O8">
        <v>19534.30358</v>
      </c>
      <c r="P8">
        <v>4.3071999999999999E-2</v>
      </c>
      <c r="Q8">
        <v>10</v>
      </c>
    </row>
    <row r="9" spans="1:17" x14ac:dyDescent="0.3">
      <c r="B9" t="s">
        <v>10</v>
      </c>
      <c r="E9">
        <v>19487.320530000001</v>
      </c>
      <c r="F9">
        <v>19487.320530000001</v>
      </c>
      <c r="G9">
        <v>19487.320530000001</v>
      </c>
      <c r="H9">
        <v>4.8120000000000003E-2</v>
      </c>
      <c r="I9">
        <v>10</v>
      </c>
      <c r="J9">
        <v>19487.320530000001</v>
      </c>
      <c r="K9">
        <v>19487.320530000001</v>
      </c>
      <c r="L9">
        <v>4.8486000000000001E-2</v>
      </c>
      <c r="M9">
        <v>10</v>
      </c>
      <c r="N9">
        <v>19487.320530000001</v>
      </c>
      <c r="O9">
        <v>19487.320530000001</v>
      </c>
      <c r="P9">
        <v>4.6103999999999999E-2</v>
      </c>
      <c r="Q9">
        <v>10</v>
      </c>
    </row>
    <row r="10" spans="1:17" x14ac:dyDescent="0.3">
      <c r="B10" t="s">
        <v>11</v>
      </c>
      <c r="E10">
        <v>19221.628779999999</v>
      </c>
      <c r="F10">
        <v>19221.628779999999</v>
      </c>
      <c r="G10">
        <v>19221.628779999999</v>
      </c>
      <c r="H10">
        <v>4.7708E-2</v>
      </c>
      <c r="I10">
        <v>10</v>
      </c>
      <c r="J10">
        <v>19221.628779999999</v>
      </c>
      <c r="K10">
        <v>19221.628779999999</v>
      </c>
      <c r="L10">
        <v>4.7689000000000002E-2</v>
      </c>
      <c r="M10">
        <v>10</v>
      </c>
      <c r="N10">
        <v>19221.628779999999</v>
      </c>
      <c r="O10">
        <v>19221.628779999999</v>
      </c>
      <c r="P10">
        <v>4.5596999999999999E-2</v>
      </c>
      <c r="Q10">
        <v>10</v>
      </c>
    </row>
    <row r="11" spans="1:17" x14ac:dyDescent="0.3">
      <c r="B11" t="s">
        <v>12</v>
      </c>
      <c r="E11">
        <v>19703.339909999999</v>
      </c>
      <c r="F11">
        <v>19703.339909999999</v>
      </c>
      <c r="G11">
        <v>19703.339909999999</v>
      </c>
      <c r="H11">
        <v>4.4468000000000001E-2</v>
      </c>
      <c r="I11">
        <v>10</v>
      </c>
      <c r="J11">
        <v>19703.339909999999</v>
      </c>
      <c r="K11">
        <v>19703.339909999999</v>
      </c>
      <c r="L11">
        <v>4.3833999999999998E-2</v>
      </c>
      <c r="M11">
        <v>10</v>
      </c>
      <c r="N11">
        <v>19703.339909999999</v>
      </c>
      <c r="O11">
        <v>19703.339909999999</v>
      </c>
      <c r="P11">
        <v>4.0177999999999998E-2</v>
      </c>
      <c r="Q11">
        <v>10</v>
      </c>
    </row>
    <row r="12" spans="1:17" x14ac:dyDescent="0.3">
      <c r="B12" t="s">
        <v>13</v>
      </c>
      <c r="E12">
        <v>19587.120180000002</v>
      </c>
      <c r="F12">
        <v>19587.120180000002</v>
      </c>
      <c r="G12">
        <v>19587.120180000002</v>
      </c>
      <c r="H12">
        <v>4.6585000000000001E-2</v>
      </c>
      <c r="I12">
        <v>10</v>
      </c>
      <c r="J12">
        <v>19587.120180000002</v>
      </c>
      <c r="K12">
        <v>19587.120180000002</v>
      </c>
      <c r="L12">
        <v>4.3645999999999997E-2</v>
      </c>
      <c r="M12">
        <v>10</v>
      </c>
      <c r="N12">
        <v>19587.120180000002</v>
      </c>
      <c r="O12">
        <v>19587.120180000002</v>
      </c>
      <c r="P12">
        <v>4.3645000000000003E-2</v>
      </c>
      <c r="Q12">
        <v>10</v>
      </c>
    </row>
    <row r="13" spans="1:17" x14ac:dyDescent="0.3">
      <c r="B13" t="s">
        <v>14</v>
      </c>
      <c r="E13">
        <v>19360.22393</v>
      </c>
      <c r="F13">
        <v>19360.22393</v>
      </c>
      <c r="G13">
        <v>19360.22393</v>
      </c>
      <c r="H13">
        <v>4.7070000000000001E-2</v>
      </c>
      <c r="I13">
        <v>10</v>
      </c>
      <c r="J13">
        <v>19360.22393</v>
      </c>
      <c r="K13">
        <v>19360.22393</v>
      </c>
      <c r="L13">
        <v>4.691E-2</v>
      </c>
      <c r="M13">
        <v>10</v>
      </c>
      <c r="N13">
        <v>19360.22393</v>
      </c>
      <c r="O13">
        <v>19360.22393</v>
      </c>
      <c r="P13">
        <v>4.2493000000000003E-2</v>
      </c>
      <c r="Q13">
        <v>10</v>
      </c>
    </row>
    <row r="14" spans="1:17" x14ac:dyDescent="0.3">
      <c r="B14" t="s">
        <v>15</v>
      </c>
      <c r="E14">
        <v>19366.698520000002</v>
      </c>
      <c r="F14">
        <v>19366.698520000002</v>
      </c>
      <c r="G14">
        <v>19366.698520000002</v>
      </c>
      <c r="H14">
        <v>4.3288E-2</v>
      </c>
      <c r="I14">
        <v>10</v>
      </c>
      <c r="J14">
        <v>19366.698520000002</v>
      </c>
      <c r="K14">
        <v>19366.698520000002</v>
      </c>
      <c r="L14">
        <v>4.2273999999999999E-2</v>
      </c>
      <c r="M14">
        <v>10</v>
      </c>
      <c r="N14">
        <v>19366.698520000002</v>
      </c>
      <c r="O14">
        <v>19366.698520000002</v>
      </c>
      <c r="P14">
        <v>4.1230999999999997E-2</v>
      </c>
      <c r="Q14">
        <v>10</v>
      </c>
    </row>
    <row r="15" spans="1:17" x14ac:dyDescent="0.3">
      <c r="B15" t="s">
        <v>16</v>
      </c>
      <c r="E15">
        <v>19458.56466</v>
      </c>
      <c r="F15">
        <v>19458.56466</v>
      </c>
      <c r="G15">
        <v>19458.56466</v>
      </c>
      <c r="H15">
        <v>4.6427000000000003E-2</v>
      </c>
      <c r="I15">
        <v>10</v>
      </c>
      <c r="J15">
        <v>19458.56466</v>
      </c>
      <c r="K15">
        <v>19458.56466</v>
      </c>
      <c r="L15">
        <v>4.5870000000000001E-2</v>
      </c>
      <c r="M15">
        <v>10</v>
      </c>
      <c r="N15">
        <v>19458.56466</v>
      </c>
      <c r="O15">
        <v>19458.56466</v>
      </c>
      <c r="P15">
        <v>4.1286999999999997E-2</v>
      </c>
      <c r="Q15">
        <v>10</v>
      </c>
    </row>
    <row r="16" spans="1:17" x14ac:dyDescent="0.3">
      <c r="B16" t="s">
        <v>17</v>
      </c>
      <c r="E16">
        <v>19422.146400000001</v>
      </c>
      <c r="F16">
        <v>19422.146400000001</v>
      </c>
      <c r="G16">
        <v>19422.146400000001</v>
      </c>
      <c r="H16">
        <v>4.5161E-2</v>
      </c>
      <c r="I16">
        <v>10</v>
      </c>
      <c r="J16">
        <v>19422.146400000001</v>
      </c>
      <c r="K16">
        <v>19422.146400000001</v>
      </c>
      <c r="L16">
        <v>4.2698E-2</v>
      </c>
      <c r="M16">
        <v>10</v>
      </c>
      <c r="N16">
        <v>19422.146400000001</v>
      </c>
      <c r="O16">
        <v>19422.146400000001</v>
      </c>
      <c r="P16">
        <v>4.0842999999999997E-2</v>
      </c>
      <c r="Q16">
        <v>10</v>
      </c>
    </row>
    <row r="17" spans="1:17" x14ac:dyDescent="0.3">
      <c r="B17" t="s">
        <v>18</v>
      </c>
      <c r="E17">
        <v>19680.20477</v>
      </c>
      <c r="F17">
        <v>19680.20477</v>
      </c>
      <c r="G17">
        <v>19680.20477</v>
      </c>
      <c r="H17">
        <v>4.7573999999999998E-2</v>
      </c>
      <c r="I17">
        <v>10</v>
      </c>
      <c r="J17">
        <v>19680.20477</v>
      </c>
      <c r="K17">
        <v>19680.20477</v>
      </c>
      <c r="L17">
        <v>4.7223000000000001E-2</v>
      </c>
      <c r="M17">
        <v>10</v>
      </c>
      <c r="N17">
        <v>19680.20477</v>
      </c>
      <c r="O17">
        <v>19680.20477</v>
      </c>
      <c r="P17">
        <v>4.3194000000000003E-2</v>
      </c>
      <c r="Q17">
        <v>10</v>
      </c>
    </row>
    <row r="18" spans="1:17" x14ac:dyDescent="0.3">
      <c r="B18" t="s">
        <v>19</v>
      </c>
      <c r="E18">
        <v>19331.38841</v>
      </c>
      <c r="F18">
        <v>19331.38841</v>
      </c>
      <c r="G18">
        <v>19331.38841</v>
      </c>
      <c r="H18">
        <v>4.7676999999999997E-2</v>
      </c>
      <c r="I18">
        <v>10</v>
      </c>
      <c r="J18">
        <v>19331.38841</v>
      </c>
      <c r="K18">
        <v>19331.38841</v>
      </c>
      <c r="L18">
        <v>4.6432000000000001E-2</v>
      </c>
      <c r="M18">
        <v>10</v>
      </c>
      <c r="N18">
        <v>19331.38841</v>
      </c>
      <c r="O18">
        <v>19331.38841</v>
      </c>
      <c r="P18">
        <v>4.3763000000000003E-2</v>
      </c>
      <c r="Q18">
        <v>10</v>
      </c>
    </row>
    <row r="19" spans="1:17" x14ac:dyDescent="0.3">
      <c r="B19" t="s">
        <v>20</v>
      </c>
      <c r="E19">
        <v>19461.3946</v>
      </c>
      <c r="F19">
        <v>19461.3946</v>
      </c>
      <c r="G19">
        <v>19461.3946</v>
      </c>
      <c r="H19">
        <v>4.6269999999999999E-2</v>
      </c>
      <c r="I19">
        <v>10</v>
      </c>
      <c r="J19">
        <v>19461.3946</v>
      </c>
      <c r="K19">
        <v>19461.3946</v>
      </c>
      <c r="L19">
        <v>4.6789999999999998E-2</v>
      </c>
      <c r="M19">
        <v>10</v>
      </c>
      <c r="N19">
        <v>19461.3946</v>
      </c>
      <c r="O19">
        <v>19461.3946</v>
      </c>
      <c r="P19">
        <v>4.1530999999999998E-2</v>
      </c>
      <c r="Q19">
        <v>10</v>
      </c>
    </row>
    <row r="20" spans="1:17" x14ac:dyDescent="0.3">
      <c r="B20" t="s">
        <v>21</v>
      </c>
      <c r="E20">
        <v>19477.325769999999</v>
      </c>
      <c r="F20">
        <v>19477.325769999999</v>
      </c>
      <c r="G20">
        <v>19477.325769999999</v>
      </c>
      <c r="H20">
        <v>4.6107000000000002E-2</v>
      </c>
      <c r="I20">
        <v>10</v>
      </c>
      <c r="J20">
        <v>19477.325769999999</v>
      </c>
      <c r="K20">
        <v>19477.325769999999</v>
      </c>
      <c r="L20">
        <v>4.6565000000000002E-2</v>
      </c>
      <c r="M20">
        <v>10</v>
      </c>
      <c r="N20">
        <v>19477.325769999999</v>
      </c>
      <c r="O20">
        <v>19477.325769999999</v>
      </c>
      <c r="P20">
        <v>4.2525E-2</v>
      </c>
      <c r="Q20">
        <v>10</v>
      </c>
    </row>
    <row r="21" spans="1:17" x14ac:dyDescent="0.3">
      <c r="B21" t="s">
        <v>22</v>
      </c>
      <c r="E21">
        <v>19604.843560000001</v>
      </c>
      <c r="F21">
        <v>19604.843560000001</v>
      </c>
      <c r="G21">
        <v>19604.843560000001</v>
      </c>
      <c r="H21">
        <v>4.6517000000000003E-2</v>
      </c>
      <c r="I21">
        <v>10</v>
      </c>
      <c r="J21">
        <v>19604.843560000001</v>
      </c>
      <c r="K21">
        <v>19604.843560000001</v>
      </c>
      <c r="L21">
        <v>4.6933000000000002E-2</v>
      </c>
      <c r="M21">
        <v>10</v>
      </c>
      <c r="N21">
        <v>19604.843560000001</v>
      </c>
      <c r="O21">
        <v>19604.843560000001</v>
      </c>
      <c r="P21">
        <v>4.2685000000000001E-2</v>
      </c>
      <c r="Q21">
        <v>10</v>
      </c>
    </row>
    <row r="22" spans="1:17" x14ac:dyDescent="0.3">
      <c r="A22" t="s">
        <v>356</v>
      </c>
      <c r="H22" s="5">
        <f>AVERAGE(H2:H21)</f>
        <v>4.6303300000000006E-2</v>
      </c>
      <c r="I22" s="1">
        <f>SUM(I2:I21)</f>
        <v>200</v>
      </c>
      <c r="L22" s="5">
        <f>AVERAGE(L2:L21)</f>
        <v>4.5555450000000004E-2</v>
      </c>
      <c r="M22" s="1">
        <f>SUM(M2:M21)</f>
        <v>200</v>
      </c>
      <c r="P22" s="5">
        <f>AVERAGE(P2:P21)</f>
        <v>4.3049999999999991E-2</v>
      </c>
      <c r="Q22" s="1">
        <f>SUM(Q2:Q21)</f>
        <v>200</v>
      </c>
    </row>
    <row r="23" spans="1:17" x14ac:dyDescent="0.3">
      <c r="A23" t="s">
        <v>358</v>
      </c>
      <c r="B23" t="s">
        <v>23</v>
      </c>
      <c r="E23">
        <v>333</v>
      </c>
      <c r="F23">
        <v>333</v>
      </c>
      <c r="G23">
        <v>333</v>
      </c>
      <c r="H23">
        <v>6.6709999999999998E-3</v>
      </c>
      <c r="I23">
        <v>10</v>
      </c>
      <c r="J23">
        <v>333</v>
      </c>
      <c r="K23">
        <v>333</v>
      </c>
      <c r="L23">
        <v>6.8669999999999998E-3</v>
      </c>
      <c r="M23">
        <v>10</v>
      </c>
      <c r="N23">
        <v>333</v>
      </c>
      <c r="O23">
        <v>333</v>
      </c>
      <c r="P23">
        <v>7.012E-3</v>
      </c>
      <c r="Q23">
        <v>10</v>
      </c>
    </row>
    <row r="24" spans="1:17" x14ac:dyDescent="0.3">
      <c r="B24" t="s">
        <v>24</v>
      </c>
      <c r="E24">
        <v>1195</v>
      </c>
      <c r="F24">
        <v>1195</v>
      </c>
      <c r="G24">
        <v>1195</v>
      </c>
      <c r="H24">
        <v>1.0054E-2</v>
      </c>
      <c r="I24">
        <v>10</v>
      </c>
      <c r="J24">
        <v>1195</v>
      </c>
      <c r="K24">
        <v>1195</v>
      </c>
      <c r="L24">
        <v>1.0437999999999999E-2</v>
      </c>
      <c r="M24">
        <v>10</v>
      </c>
      <c r="N24">
        <v>1195</v>
      </c>
      <c r="O24">
        <v>1195</v>
      </c>
      <c r="P24">
        <v>1.0038999999999999E-2</v>
      </c>
      <c r="Q24">
        <v>10</v>
      </c>
    </row>
    <row r="25" spans="1:17" x14ac:dyDescent="0.3">
      <c r="B25" t="s">
        <v>25</v>
      </c>
      <c r="E25">
        <v>2457</v>
      </c>
      <c r="F25">
        <v>2457</v>
      </c>
      <c r="G25">
        <v>2457</v>
      </c>
      <c r="H25">
        <v>1.2555999999999999E-2</v>
      </c>
      <c r="I25">
        <v>10</v>
      </c>
      <c r="J25">
        <v>2457</v>
      </c>
      <c r="K25">
        <v>2457</v>
      </c>
      <c r="L25">
        <v>1.2879E-2</v>
      </c>
      <c r="M25">
        <v>10</v>
      </c>
      <c r="N25">
        <v>2457</v>
      </c>
      <c r="O25">
        <v>2457</v>
      </c>
      <c r="P25">
        <v>1.2643E-2</v>
      </c>
      <c r="Q25">
        <v>10</v>
      </c>
    </row>
    <row r="26" spans="1:17" x14ac:dyDescent="0.3">
      <c r="B26" t="s">
        <v>26</v>
      </c>
      <c r="E26">
        <v>4142</v>
      </c>
      <c r="F26">
        <v>4142</v>
      </c>
      <c r="G26">
        <v>4142</v>
      </c>
      <c r="H26">
        <v>1.3972999999999999E-2</v>
      </c>
      <c r="I26">
        <v>10</v>
      </c>
      <c r="J26">
        <v>4142</v>
      </c>
      <c r="K26">
        <v>4142</v>
      </c>
      <c r="L26">
        <v>1.4014E-2</v>
      </c>
      <c r="M26">
        <v>10</v>
      </c>
      <c r="N26">
        <v>4142</v>
      </c>
      <c r="O26">
        <v>4142</v>
      </c>
      <c r="P26">
        <v>1.5077999999999999E-2</v>
      </c>
      <c r="Q26">
        <v>10</v>
      </c>
    </row>
    <row r="27" spans="1:17" x14ac:dyDescent="0.3">
      <c r="B27" t="s">
        <v>27</v>
      </c>
      <c r="E27">
        <v>1247</v>
      </c>
      <c r="F27">
        <v>1247</v>
      </c>
      <c r="G27">
        <v>1247</v>
      </c>
      <c r="H27">
        <v>1.9692999999999999E-2</v>
      </c>
      <c r="I27">
        <v>10</v>
      </c>
      <c r="J27">
        <v>1247</v>
      </c>
      <c r="K27">
        <v>1247</v>
      </c>
      <c r="L27">
        <v>1.9890000000000001E-2</v>
      </c>
      <c r="M27">
        <v>10</v>
      </c>
      <c r="N27">
        <v>1247</v>
      </c>
      <c r="O27">
        <v>1247</v>
      </c>
      <c r="P27">
        <v>2.1998E-2</v>
      </c>
      <c r="Q27">
        <v>10</v>
      </c>
    </row>
    <row r="28" spans="1:17" x14ac:dyDescent="0.3">
      <c r="B28" t="s">
        <v>28</v>
      </c>
      <c r="E28">
        <v>4450</v>
      </c>
      <c r="F28">
        <v>4450</v>
      </c>
      <c r="G28">
        <v>4450</v>
      </c>
      <c r="H28">
        <v>3.2091000000000001E-2</v>
      </c>
      <c r="I28">
        <v>10</v>
      </c>
      <c r="J28">
        <v>4450</v>
      </c>
      <c r="K28">
        <v>4450</v>
      </c>
      <c r="L28">
        <v>3.4221000000000001E-2</v>
      </c>
      <c r="M28">
        <v>10</v>
      </c>
      <c r="N28">
        <v>4450</v>
      </c>
      <c r="O28">
        <v>4450</v>
      </c>
      <c r="P28">
        <v>4.555E-2</v>
      </c>
      <c r="Q28">
        <v>10</v>
      </c>
    </row>
    <row r="29" spans="1:17" x14ac:dyDescent="0.3">
      <c r="B29" t="s">
        <v>29</v>
      </c>
      <c r="E29">
        <v>9437</v>
      </c>
      <c r="F29">
        <v>9437</v>
      </c>
      <c r="G29">
        <v>9437</v>
      </c>
      <c r="H29">
        <v>3.9872999999999999E-2</v>
      </c>
      <c r="I29">
        <v>10</v>
      </c>
      <c r="J29">
        <v>9437</v>
      </c>
      <c r="K29">
        <v>9437</v>
      </c>
      <c r="L29">
        <v>3.9121000000000003E-2</v>
      </c>
      <c r="M29">
        <v>10</v>
      </c>
      <c r="N29">
        <v>9437</v>
      </c>
      <c r="O29">
        <v>9437</v>
      </c>
      <c r="P29">
        <v>4.0406999999999998E-2</v>
      </c>
      <c r="Q29">
        <v>10</v>
      </c>
    </row>
    <row r="30" spans="1:17" x14ac:dyDescent="0.3">
      <c r="B30" t="s">
        <v>30</v>
      </c>
      <c r="E30">
        <v>16225</v>
      </c>
      <c r="F30">
        <v>16225</v>
      </c>
      <c r="G30">
        <v>16225</v>
      </c>
      <c r="H30">
        <v>4.7502000000000003E-2</v>
      </c>
      <c r="I30">
        <v>10</v>
      </c>
      <c r="J30">
        <v>16225</v>
      </c>
      <c r="K30">
        <v>16225</v>
      </c>
      <c r="L30">
        <v>4.9155999999999998E-2</v>
      </c>
      <c r="M30">
        <v>10</v>
      </c>
      <c r="N30">
        <v>16225</v>
      </c>
      <c r="O30">
        <v>16225</v>
      </c>
      <c r="P30">
        <v>5.0694000000000003E-2</v>
      </c>
      <c r="Q30">
        <v>10</v>
      </c>
    </row>
    <row r="31" spans="1:17" x14ac:dyDescent="0.3">
      <c r="B31" t="s">
        <v>31</v>
      </c>
      <c r="E31">
        <v>2694</v>
      </c>
      <c r="F31">
        <v>2694</v>
      </c>
      <c r="G31">
        <v>2694</v>
      </c>
      <c r="H31">
        <v>3.2634000000000003E-2</v>
      </c>
      <c r="I31">
        <v>10</v>
      </c>
      <c r="J31">
        <v>2694</v>
      </c>
      <c r="K31">
        <v>2694</v>
      </c>
      <c r="L31">
        <v>3.3793999999999998E-2</v>
      </c>
      <c r="M31">
        <v>10</v>
      </c>
      <c r="N31">
        <v>2694</v>
      </c>
      <c r="O31">
        <v>2694</v>
      </c>
      <c r="P31">
        <v>5.0376999999999998E-2</v>
      </c>
      <c r="Q31">
        <v>10</v>
      </c>
    </row>
    <row r="32" spans="1:17" x14ac:dyDescent="0.3">
      <c r="B32" t="s">
        <v>32</v>
      </c>
      <c r="E32">
        <v>9689</v>
      </c>
      <c r="F32">
        <v>9689</v>
      </c>
      <c r="G32">
        <v>9689</v>
      </c>
      <c r="H32">
        <v>5.8722999999999997E-2</v>
      </c>
      <c r="I32">
        <v>10</v>
      </c>
      <c r="J32">
        <v>9689</v>
      </c>
      <c r="K32">
        <v>9689</v>
      </c>
      <c r="L32">
        <v>6.1538000000000002E-2</v>
      </c>
      <c r="M32">
        <v>10</v>
      </c>
      <c r="N32">
        <v>9689</v>
      </c>
      <c r="O32">
        <v>9689</v>
      </c>
      <c r="P32">
        <v>7.3703000000000005E-2</v>
      </c>
      <c r="Q32">
        <v>10</v>
      </c>
    </row>
    <row r="33" spans="1:17" x14ac:dyDescent="0.3">
      <c r="B33" t="s">
        <v>33</v>
      </c>
      <c r="E33">
        <v>20743</v>
      </c>
      <c r="F33">
        <v>20743</v>
      </c>
      <c r="G33">
        <v>20743</v>
      </c>
      <c r="H33">
        <v>7.4538999999999994E-2</v>
      </c>
      <c r="I33">
        <v>10</v>
      </c>
      <c r="J33">
        <v>20743</v>
      </c>
      <c r="K33">
        <v>20743</v>
      </c>
      <c r="L33">
        <v>7.5671000000000002E-2</v>
      </c>
      <c r="M33">
        <v>10</v>
      </c>
      <c r="N33">
        <v>20743</v>
      </c>
      <c r="O33">
        <v>20743</v>
      </c>
      <c r="P33">
        <v>9.9037E-2</v>
      </c>
      <c r="Q33">
        <v>10</v>
      </c>
    </row>
    <row r="34" spans="1:17" x14ac:dyDescent="0.3">
      <c r="B34" t="s">
        <v>34</v>
      </c>
      <c r="E34">
        <v>35881</v>
      </c>
      <c r="F34">
        <v>35881</v>
      </c>
      <c r="G34">
        <v>35881</v>
      </c>
      <c r="H34">
        <v>6.6104999999999997E-2</v>
      </c>
      <c r="I34">
        <v>10</v>
      </c>
      <c r="J34">
        <v>35881</v>
      </c>
      <c r="K34">
        <v>35881</v>
      </c>
      <c r="L34">
        <v>6.8718000000000001E-2</v>
      </c>
      <c r="M34">
        <v>10</v>
      </c>
      <c r="N34">
        <v>35881</v>
      </c>
      <c r="O34">
        <v>35881</v>
      </c>
      <c r="P34">
        <v>8.2511000000000001E-2</v>
      </c>
      <c r="Q34">
        <v>10</v>
      </c>
    </row>
    <row r="35" spans="1:17" x14ac:dyDescent="0.3">
      <c r="B35" t="s">
        <v>35</v>
      </c>
      <c r="E35">
        <v>4658</v>
      </c>
      <c r="F35">
        <v>4658</v>
      </c>
      <c r="G35">
        <v>4658</v>
      </c>
      <c r="H35">
        <v>4.8460999999999997E-2</v>
      </c>
      <c r="I35">
        <v>10</v>
      </c>
      <c r="J35">
        <v>4658</v>
      </c>
      <c r="K35">
        <v>4658</v>
      </c>
      <c r="L35">
        <v>4.8161000000000002E-2</v>
      </c>
      <c r="M35">
        <v>10</v>
      </c>
      <c r="N35">
        <v>4658</v>
      </c>
      <c r="O35">
        <v>4658</v>
      </c>
      <c r="P35">
        <v>6.7650000000000002E-2</v>
      </c>
      <c r="Q35">
        <v>10</v>
      </c>
    </row>
    <row r="36" spans="1:17" x14ac:dyDescent="0.3">
      <c r="B36" t="s">
        <v>36</v>
      </c>
      <c r="E36">
        <v>16956</v>
      </c>
      <c r="F36">
        <v>16956</v>
      </c>
      <c r="G36">
        <v>16956</v>
      </c>
      <c r="H36">
        <v>8.5595000000000004E-2</v>
      </c>
      <c r="I36">
        <v>10</v>
      </c>
      <c r="J36">
        <v>16956</v>
      </c>
      <c r="K36">
        <v>16956</v>
      </c>
      <c r="L36">
        <v>8.4931999999999994E-2</v>
      </c>
      <c r="M36">
        <v>10</v>
      </c>
      <c r="N36">
        <v>16956</v>
      </c>
      <c r="O36">
        <v>16956</v>
      </c>
      <c r="P36">
        <v>0.166298</v>
      </c>
      <c r="Q36">
        <v>10</v>
      </c>
    </row>
    <row r="37" spans="1:17" x14ac:dyDescent="0.3">
      <c r="B37" t="s">
        <v>37</v>
      </c>
      <c r="E37">
        <v>36317</v>
      </c>
      <c r="F37">
        <v>36317</v>
      </c>
      <c r="G37">
        <v>36317</v>
      </c>
      <c r="H37">
        <v>8.3224000000000006E-2</v>
      </c>
      <c r="I37">
        <v>10</v>
      </c>
      <c r="J37">
        <v>36317</v>
      </c>
      <c r="K37">
        <v>36317</v>
      </c>
      <c r="L37">
        <v>8.8546E-2</v>
      </c>
      <c r="M37">
        <v>10</v>
      </c>
      <c r="N37">
        <v>36317</v>
      </c>
      <c r="O37">
        <v>36317</v>
      </c>
      <c r="P37">
        <v>0.121068</v>
      </c>
      <c r="Q37">
        <v>10</v>
      </c>
    </row>
    <row r="38" spans="1:17" x14ac:dyDescent="0.3">
      <c r="B38" t="s">
        <v>38</v>
      </c>
      <c r="E38">
        <v>62487</v>
      </c>
      <c r="F38">
        <v>62487</v>
      </c>
      <c r="G38">
        <v>62487</v>
      </c>
      <c r="H38">
        <v>8.5592000000000001E-2</v>
      </c>
      <c r="I38">
        <v>10</v>
      </c>
      <c r="J38">
        <v>62487</v>
      </c>
      <c r="K38">
        <v>62487</v>
      </c>
      <c r="L38">
        <v>8.6443000000000006E-2</v>
      </c>
      <c r="M38">
        <v>10</v>
      </c>
      <c r="N38">
        <v>62487</v>
      </c>
      <c r="O38">
        <v>62487</v>
      </c>
      <c r="P38">
        <v>0.42047699999999999</v>
      </c>
      <c r="Q38">
        <v>10</v>
      </c>
    </row>
    <row r="39" spans="1:17" x14ac:dyDescent="0.3">
      <c r="B39" t="s">
        <v>39</v>
      </c>
      <c r="E39">
        <v>7141</v>
      </c>
      <c r="F39">
        <v>7141</v>
      </c>
      <c r="G39">
        <v>7141</v>
      </c>
      <c r="H39">
        <v>7.6748999999999998E-2</v>
      </c>
      <c r="I39">
        <v>10</v>
      </c>
      <c r="J39">
        <v>7141</v>
      </c>
      <c r="K39">
        <v>7141</v>
      </c>
      <c r="L39">
        <v>7.4121999999999993E-2</v>
      </c>
      <c r="M39">
        <v>10</v>
      </c>
      <c r="N39">
        <v>7141</v>
      </c>
      <c r="O39">
        <v>7141</v>
      </c>
      <c r="P39">
        <v>9.5876000000000003E-2</v>
      </c>
      <c r="Q39">
        <v>10</v>
      </c>
    </row>
    <row r="40" spans="1:17" x14ac:dyDescent="0.3">
      <c r="B40" t="s">
        <v>40</v>
      </c>
      <c r="E40">
        <v>26258</v>
      </c>
      <c r="F40">
        <v>26258</v>
      </c>
      <c r="G40">
        <v>26258</v>
      </c>
      <c r="H40">
        <v>8.0072000000000004E-2</v>
      </c>
      <c r="I40">
        <v>10</v>
      </c>
      <c r="J40">
        <v>26258</v>
      </c>
      <c r="K40">
        <v>26258</v>
      </c>
      <c r="L40">
        <v>8.0366000000000007E-2</v>
      </c>
      <c r="M40">
        <v>10</v>
      </c>
      <c r="N40">
        <v>26258</v>
      </c>
      <c r="O40">
        <v>26258</v>
      </c>
      <c r="P40">
        <v>8.9798000000000003E-2</v>
      </c>
      <c r="Q40">
        <v>10</v>
      </c>
    </row>
    <row r="41" spans="1:17" x14ac:dyDescent="0.3">
      <c r="B41" t="s">
        <v>41</v>
      </c>
      <c r="E41">
        <v>56572</v>
      </c>
      <c r="F41">
        <v>56572</v>
      </c>
      <c r="G41">
        <v>56572</v>
      </c>
      <c r="H41">
        <v>7.5568999999999997E-2</v>
      </c>
      <c r="I41">
        <v>10</v>
      </c>
      <c r="J41">
        <v>56572</v>
      </c>
      <c r="K41">
        <v>56572</v>
      </c>
      <c r="L41">
        <v>7.8376000000000001E-2</v>
      </c>
      <c r="M41">
        <v>10</v>
      </c>
      <c r="N41">
        <v>56572</v>
      </c>
      <c r="O41">
        <v>56572</v>
      </c>
      <c r="P41">
        <v>7.3206999999999994E-2</v>
      </c>
      <c r="Q41">
        <v>10</v>
      </c>
    </row>
    <row r="42" spans="1:17" x14ac:dyDescent="0.3">
      <c r="B42" t="s">
        <v>42</v>
      </c>
      <c r="E42">
        <v>97344</v>
      </c>
      <c r="F42">
        <v>97344</v>
      </c>
      <c r="G42">
        <v>97344</v>
      </c>
      <c r="H42">
        <v>8.0851000000000006E-2</v>
      </c>
      <c r="I42">
        <v>10</v>
      </c>
      <c r="J42">
        <v>97344</v>
      </c>
      <c r="K42">
        <v>97344</v>
      </c>
      <c r="L42">
        <v>8.4600999999999996E-2</v>
      </c>
      <c r="M42">
        <v>10</v>
      </c>
      <c r="N42">
        <v>97344</v>
      </c>
      <c r="O42">
        <v>97344</v>
      </c>
      <c r="P42">
        <v>8.6481000000000002E-2</v>
      </c>
      <c r="Q42">
        <v>10</v>
      </c>
    </row>
    <row r="43" spans="1:17" x14ac:dyDescent="0.3">
      <c r="A43" t="s">
        <v>356</v>
      </c>
      <c r="H43" s="5">
        <f>AVERAGE(H23:H42)</f>
        <v>5.1526349999999985E-2</v>
      </c>
      <c r="I43" s="1">
        <f>SUM(I23:I42)</f>
        <v>200</v>
      </c>
      <c r="L43" s="5">
        <f>AVERAGE(L23:L42)</f>
        <v>5.2592700000000006E-2</v>
      </c>
      <c r="M43" s="1">
        <f>SUM(M23:M42)</f>
        <v>200</v>
      </c>
      <c r="P43" s="5">
        <f>AVERAGE(P23:P42)</f>
        <v>8.1495200000000018E-2</v>
      </c>
      <c r="Q43" s="1">
        <f>SUM(Q23:Q42)</f>
        <v>200</v>
      </c>
    </row>
    <row r="44" spans="1:17" x14ac:dyDescent="0.3">
      <c r="A44" t="s">
        <v>359</v>
      </c>
      <c r="B44" t="s">
        <v>43</v>
      </c>
      <c r="E44">
        <v>7833.83</v>
      </c>
      <c r="F44">
        <v>7833.83</v>
      </c>
      <c r="G44">
        <v>7833.83</v>
      </c>
      <c r="H44">
        <v>9.5094999999999999E-2</v>
      </c>
      <c r="I44">
        <v>10</v>
      </c>
      <c r="J44">
        <v>7833.83</v>
      </c>
      <c r="K44">
        <v>7833.83</v>
      </c>
      <c r="L44">
        <v>7.6131000000000004E-2</v>
      </c>
      <c r="M44">
        <v>10</v>
      </c>
      <c r="N44">
        <v>7833.83</v>
      </c>
      <c r="O44">
        <v>7833.83</v>
      </c>
      <c r="P44">
        <v>5.6182999999999997E-2</v>
      </c>
      <c r="Q44">
        <v>10</v>
      </c>
    </row>
    <row r="45" spans="1:17" x14ac:dyDescent="0.3">
      <c r="B45" t="s">
        <v>44</v>
      </c>
      <c r="E45">
        <v>7771.66</v>
      </c>
      <c r="F45">
        <v>7771.66</v>
      </c>
      <c r="G45">
        <v>7771.66</v>
      </c>
      <c r="H45">
        <v>0.103982</v>
      </c>
      <c r="I45">
        <v>10</v>
      </c>
      <c r="J45">
        <v>7771.66</v>
      </c>
      <c r="K45">
        <v>7771.66</v>
      </c>
      <c r="L45">
        <v>0.10477</v>
      </c>
      <c r="M45">
        <v>10</v>
      </c>
      <c r="N45">
        <v>7771.66</v>
      </c>
      <c r="O45">
        <v>7771.66</v>
      </c>
      <c r="P45">
        <v>0.11707099999999999</v>
      </c>
      <c r="Q45">
        <v>10</v>
      </c>
    </row>
    <row r="46" spans="1:17" x14ac:dyDescent="0.3">
      <c r="B46" t="s">
        <v>45</v>
      </c>
      <c r="E46">
        <v>7759.36</v>
      </c>
      <c r="F46">
        <v>7759.36</v>
      </c>
      <c r="G46">
        <v>7759.36</v>
      </c>
      <c r="H46">
        <v>9.9174999999999999E-2</v>
      </c>
      <c r="I46">
        <v>10</v>
      </c>
      <c r="J46">
        <v>7759.36</v>
      </c>
      <c r="K46">
        <v>7759.36</v>
      </c>
      <c r="L46">
        <v>9.0534000000000003E-2</v>
      </c>
      <c r="M46">
        <v>10</v>
      </c>
      <c r="N46">
        <v>7759.36</v>
      </c>
      <c r="O46">
        <v>7759.36</v>
      </c>
      <c r="P46">
        <v>9.5452999999999996E-2</v>
      </c>
      <c r="Q46">
        <v>10</v>
      </c>
    </row>
    <row r="47" spans="1:17" x14ac:dyDescent="0.3">
      <c r="B47" t="s">
        <v>46</v>
      </c>
      <c r="E47">
        <v>7770.24</v>
      </c>
      <c r="F47">
        <v>7770.24</v>
      </c>
      <c r="G47">
        <v>7770.24</v>
      </c>
      <c r="H47">
        <v>9.7842999999999999E-2</v>
      </c>
      <c r="I47">
        <v>10</v>
      </c>
      <c r="J47">
        <v>7770.24</v>
      </c>
      <c r="K47">
        <v>7770.24</v>
      </c>
      <c r="L47">
        <v>8.5004999999999997E-2</v>
      </c>
      <c r="M47">
        <v>10</v>
      </c>
      <c r="N47">
        <v>7770.24</v>
      </c>
      <c r="O47">
        <v>7770.24</v>
      </c>
      <c r="P47">
        <v>0.823994</v>
      </c>
      <c r="Q47">
        <v>10</v>
      </c>
    </row>
    <row r="48" spans="1:17" x14ac:dyDescent="0.3">
      <c r="B48" t="s">
        <v>47</v>
      </c>
      <c r="E48">
        <v>7755.23</v>
      </c>
      <c r="F48">
        <v>7755.23</v>
      </c>
      <c r="G48">
        <v>7755.23</v>
      </c>
      <c r="H48">
        <v>0.111218</v>
      </c>
      <c r="I48">
        <v>10</v>
      </c>
      <c r="J48">
        <v>7755.23</v>
      </c>
      <c r="K48">
        <v>7755.23</v>
      </c>
      <c r="L48">
        <v>8.9327000000000004E-2</v>
      </c>
      <c r="M48">
        <v>10</v>
      </c>
      <c r="N48">
        <v>7755.23</v>
      </c>
      <c r="O48">
        <v>7755.23</v>
      </c>
      <c r="P48">
        <v>0.21799099999999999</v>
      </c>
      <c r="Q48">
        <v>10</v>
      </c>
    </row>
    <row r="49" spans="1:17" x14ac:dyDescent="0.3">
      <c r="B49" t="s">
        <v>48</v>
      </c>
      <c r="E49">
        <v>7773.71</v>
      </c>
      <c r="F49">
        <v>7773.71</v>
      </c>
      <c r="G49">
        <v>7773.71</v>
      </c>
      <c r="H49">
        <v>0.100332</v>
      </c>
      <c r="I49">
        <v>10</v>
      </c>
      <c r="J49">
        <v>7773.71</v>
      </c>
      <c r="K49">
        <v>7773.71</v>
      </c>
      <c r="L49">
        <v>8.7024000000000004E-2</v>
      </c>
      <c r="M49">
        <v>10</v>
      </c>
      <c r="N49">
        <v>7773.71</v>
      </c>
      <c r="O49">
        <v>7773.71</v>
      </c>
      <c r="P49">
        <v>6.0803999999999997E-2</v>
      </c>
      <c r="Q49">
        <v>10</v>
      </c>
    </row>
    <row r="50" spans="1:17" x14ac:dyDescent="0.3">
      <c r="B50" t="s">
        <v>49</v>
      </c>
      <c r="E50">
        <v>7771.73</v>
      </c>
      <c r="F50">
        <v>7771.73</v>
      </c>
      <c r="G50">
        <v>7771.73</v>
      </c>
      <c r="H50">
        <v>6.5411999999999998E-2</v>
      </c>
      <c r="I50">
        <v>10</v>
      </c>
      <c r="J50">
        <v>7771.73</v>
      </c>
      <c r="K50">
        <v>7771.73</v>
      </c>
      <c r="L50">
        <v>6.5531000000000006E-2</v>
      </c>
      <c r="M50">
        <v>10</v>
      </c>
      <c r="N50">
        <v>7771.73</v>
      </c>
      <c r="O50">
        <v>7771.73</v>
      </c>
      <c r="P50">
        <v>0.62605299999999997</v>
      </c>
      <c r="Q50">
        <v>10</v>
      </c>
    </row>
    <row r="51" spans="1:17" x14ac:dyDescent="0.3">
      <c r="B51" t="s">
        <v>50</v>
      </c>
      <c r="E51">
        <v>7750.88</v>
      </c>
      <c r="F51">
        <v>7750.88</v>
      </c>
      <c r="G51">
        <v>7750.88</v>
      </c>
      <c r="H51">
        <v>0.10721</v>
      </c>
      <c r="I51">
        <v>10</v>
      </c>
      <c r="J51">
        <v>7750.88</v>
      </c>
      <c r="K51">
        <v>7750.88</v>
      </c>
      <c r="L51">
        <v>0.125001</v>
      </c>
      <c r="M51">
        <v>10</v>
      </c>
      <c r="N51">
        <v>7750.88</v>
      </c>
      <c r="O51">
        <v>7750.88</v>
      </c>
      <c r="P51">
        <v>0.149952</v>
      </c>
      <c r="Q51">
        <v>10</v>
      </c>
    </row>
    <row r="52" spans="1:17" x14ac:dyDescent="0.3">
      <c r="B52" t="s">
        <v>51</v>
      </c>
      <c r="E52">
        <v>7770.07</v>
      </c>
      <c r="F52">
        <v>7770.07</v>
      </c>
      <c r="G52">
        <v>7770.07</v>
      </c>
      <c r="H52">
        <v>7.2736999999999996E-2</v>
      </c>
      <c r="I52">
        <v>10</v>
      </c>
      <c r="J52">
        <v>7770.07</v>
      </c>
      <c r="K52">
        <v>7770.07</v>
      </c>
      <c r="L52">
        <v>7.0931999999999995E-2</v>
      </c>
      <c r="M52">
        <v>10</v>
      </c>
      <c r="N52">
        <v>7770.07</v>
      </c>
      <c r="O52">
        <v>7770.07</v>
      </c>
      <c r="P52">
        <v>0.54658300000000004</v>
      </c>
      <c r="Q52">
        <v>10</v>
      </c>
    </row>
    <row r="53" spans="1:17" x14ac:dyDescent="0.3">
      <c r="B53" t="s">
        <v>52</v>
      </c>
      <c r="E53">
        <v>7780.35</v>
      </c>
      <c r="F53">
        <v>7780.35</v>
      </c>
      <c r="G53">
        <v>7780.35</v>
      </c>
      <c r="H53">
        <v>9.4599000000000003E-2</v>
      </c>
      <c r="I53">
        <v>10</v>
      </c>
      <c r="J53">
        <v>7780.35</v>
      </c>
      <c r="K53">
        <v>7780.35</v>
      </c>
      <c r="L53">
        <v>9.4402E-2</v>
      </c>
      <c r="M53">
        <v>10</v>
      </c>
      <c r="N53">
        <v>7780.35</v>
      </c>
      <c r="O53">
        <v>7780.35</v>
      </c>
      <c r="P53">
        <v>0.108793</v>
      </c>
      <c r="Q53">
        <v>10</v>
      </c>
    </row>
    <row r="54" spans="1:17" x14ac:dyDescent="0.3">
      <c r="B54" t="s">
        <v>53</v>
      </c>
      <c r="E54">
        <v>7770.95</v>
      </c>
      <c r="F54">
        <v>7770.95</v>
      </c>
      <c r="G54">
        <v>7770.95</v>
      </c>
      <c r="H54">
        <v>8.5233000000000003E-2</v>
      </c>
      <c r="I54">
        <v>10</v>
      </c>
      <c r="J54">
        <v>7770.95</v>
      </c>
      <c r="K54">
        <v>7770.95</v>
      </c>
      <c r="L54">
        <v>8.5736000000000007E-2</v>
      </c>
      <c r="M54">
        <v>10</v>
      </c>
      <c r="N54">
        <v>7770.95</v>
      </c>
      <c r="O54">
        <v>7770.95</v>
      </c>
      <c r="P54">
        <v>0.24224300000000001</v>
      </c>
      <c r="Q54">
        <v>10</v>
      </c>
    </row>
    <row r="55" spans="1:17" x14ac:dyDescent="0.3">
      <c r="B55" t="s">
        <v>54</v>
      </c>
      <c r="E55">
        <v>7757.65</v>
      </c>
      <c r="F55">
        <v>7757.65</v>
      </c>
      <c r="G55">
        <v>7757.65</v>
      </c>
      <c r="H55">
        <v>0.109878</v>
      </c>
      <c r="I55">
        <v>10</v>
      </c>
      <c r="J55">
        <v>7757.65</v>
      </c>
      <c r="K55">
        <v>7757.65</v>
      </c>
      <c r="L55">
        <v>8.5443000000000005E-2</v>
      </c>
      <c r="M55">
        <v>10</v>
      </c>
      <c r="N55">
        <v>7757.65</v>
      </c>
      <c r="O55">
        <v>7757.65</v>
      </c>
      <c r="P55">
        <v>8.1287999999999999E-2</v>
      </c>
      <c r="Q55">
        <v>10</v>
      </c>
    </row>
    <row r="56" spans="1:17" x14ac:dyDescent="0.3">
      <c r="B56" t="s">
        <v>55</v>
      </c>
      <c r="E56">
        <v>7798.43</v>
      </c>
      <c r="F56">
        <v>7798.43</v>
      </c>
      <c r="G56">
        <v>7798.43</v>
      </c>
      <c r="H56">
        <v>9.8855999999999999E-2</v>
      </c>
      <c r="I56">
        <v>10</v>
      </c>
      <c r="J56">
        <v>7798.43</v>
      </c>
      <c r="K56">
        <v>7798.43</v>
      </c>
      <c r="L56">
        <v>8.2900000000000001E-2</v>
      </c>
      <c r="M56">
        <v>10</v>
      </c>
      <c r="N56">
        <v>7798.43</v>
      </c>
      <c r="O56">
        <v>7798.43</v>
      </c>
      <c r="P56">
        <v>0.28249000000000002</v>
      </c>
      <c r="Q56">
        <v>10</v>
      </c>
    </row>
    <row r="57" spans="1:17" x14ac:dyDescent="0.3">
      <c r="B57" t="s">
        <v>56</v>
      </c>
      <c r="E57">
        <v>7795.63</v>
      </c>
      <c r="F57">
        <v>7795.63</v>
      </c>
      <c r="G57">
        <v>7795.63</v>
      </c>
      <c r="H57">
        <v>0.102618</v>
      </c>
      <c r="I57">
        <v>10</v>
      </c>
      <c r="J57">
        <v>7795.63</v>
      </c>
      <c r="K57">
        <v>7795.63</v>
      </c>
      <c r="L57">
        <v>9.4895999999999994E-2</v>
      </c>
      <c r="M57">
        <v>10</v>
      </c>
      <c r="N57">
        <v>7795.63</v>
      </c>
      <c r="O57">
        <v>7795.63</v>
      </c>
      <c r="P57">
        <v>0.18890699999999999</v>
      </c>
      <c r="Q57">
        <v>10</v>
      </c>
    </row>
    <row r="58" spans="1:17" x14ac:dyDescent="0.3">
      <c r="B58" t="s">
        <v>57</v>
      </c>
      <c r="E58">
        <v>7736.84</v>
      </c>
      <c r="F58">
        <v>7736.84</v>
      </c>
      <c r="G58">
        <v>7736.84</v>
      </c>
      <c r="H58">
        <v>9.5726000000000006E-2</v>
      </c>
      <c r="I58">
        <v>10</v>
      </c>
      <c r="J58">
        <v>7736.84</v>
      </c>
      <c r="K58">
        <v>7736.84</v>
      </c>
      <c r="L58">
        <v>0.124459</v>
      </c>
      <c r="M58">
        <v>10</v>
      </c>
      <c r="N58">
        <v>7736.84</v>
      </c>
      <c r="O58">
        <v>7736.84</v>
      </c>
      <c r="P58">
        <v>1.646763</v>
      </c>
      <c r="Q58">
        <v>10</v>
      </c>
    </row>
    <row r="59" spans="1:17" x14ac:dyDescent="0.3">
      <c r="B59" t="s">
        <v>58</v>
      </c>
      <c r="E59">
        <v>7792.77</v>
      </c>
      <c r="F59">
        <v>7792.77</v>
      </c>
      <c r="G59">
        <v>7792.77</v>
      </c>
      <c r="H59">
        <v>0.117384</v>
      </c>
      <c r="I59">
        <v>10</v>
      </c>
      <c r="J59">
        <v>7792.77</v>
      </c>
      <c r="K59">
        <v>7792.77</v>
      </c>
      <c r="L59">
        <v>0.10846699999999999</v>
      </c>
      <c r="M59">
        <v>10</v>
      </c>
      <c r="N59">
        <v>7792.77</v>
      </c>
      <c r="O59">
        <v>7792.77</v>
      </c>
      <c r="P59">
        <v>0.141454</v>
      </c>
      <c r="Q59">
        <v>10</v>
      </c>
    </row>
    <row r="60" spans="1:17" x14ac:dyDescent="0.3">
      <c r="B60" t="s">
        <v>59</v>
      </c>
      <c r="E60">
        <v>7787.2</v>
      </c>
      <c r="F60">
        <v>7787.2</v>
      </c>
      <c r="G60">
        <v>7787.2</v>
      </c>
      <c r="H60">
        <v>7.5525999999999996E-2</v>
      </c>
      <c r="I60">
        <v>10</v>
      </c>
      <c r="J60">
        <v>7787.2</v>
      </c>
      <c r="K60">
        <v>7787.2</v>
      </c>
      <c r="L60">
        <v>7.3453000000000004E-2</v>
      </c>
      <c r="M60">
        <v>10</v>
      </c>
      <c r="N60">
        <v>7787.2</v>
      </c>
      <c r="O60">
        <v>7787.2</v>
      </c>
      <c r="P60">
        <v>9.0453000000000006E-2</v>
      </c>
      <c r="Q60">
        <v>10</v>
      </c>
    </row>
    <row r="61" spans="1:17" x14ac:dyDescent="0.3">
      <c r="B61" t="s">
        <v>60</v>
      </c>
      <c r="E61">
        <v>7756.26</v>
      </c>
      <c r="F61">
        <v>7756.26</v>
      </c>
      <c r="G61">
        <v>7756.26</v>
      </c>
      <c r="H61">
        <v>9.5869999999999997E-2</v>
      </c>
      <c r="I61">
        <v>10</v>
      </c>
      <c r="J61">
        <v>7756.26</v>
      </c>
      <c r="K61">
        <v>7756.26</v>
      </c>
      <c r="L61">
        <v>8.8853000000000001E-2</v>
      </c>
      <c r="M61">
        <v>10</v>
      </c>
      <c r="N61">
        <v>7756.26</v>
      </c>
      <c r="O61">
        <v>7756.26</v>
      </c>
      <c r="P61">
        <v>0.25444800000000001</v>
      </c>
      <c r="Q61">
        <v>10</v>
      </c>
    </row>
    <row r="62" spans="1:17" x14ac:dyDescent="0.3">
      <c r="B62" t="s">
        <v>61</v>
      </c>
      <c r="E62">
        <v>7755.41</v>
      </c>
      <c r="F62">
        <v>7755.41</v>
      </c>
      <c r="G62">
        <v>7755.41</v>
      </c>
      <c r="H62">
        <v>0.11083</v>
      </c>
      <c r="I62">
        <v>10</v>
      </c>
      <c r="J62">
        <v>7755.41</v>
      </c>
      <c r="K62">
        <v>7755.41</v>
      </c>
      <c r="L62">
        <v>0.11393399999999999</v>
      </c>
      <c r="M62">
        <v>10</v>
      </c>
      <c r="N62">
        <v>7755.41</v>
      </c>
      <c r="O62">
        <v>7755.41</v>
      </c>
      <c r="P62">
        <v>0.20400699999999999</v>
      </c>
      <c r="Q62">
        <v>10</v>
      </c>
    </row>
    <row r="63" spans="1:17" x14ac:dyDescent="0.3">
      <c r="B63" t="s">
        <v>62</v>
      </c>
      <c r="E63">
        <v>7733.86</v>
      </c>
      <c r="F63">
        <v>7733.86</v>
      </c>
      <c r="G63">
        <v>7733.86</v>
      </c>
      <c r="H63">
        <v>9.7522999999999999E-2</v>
      </c>
      <c r="I63">
        <v>10</v>
      </c>
      <c r="J63">
        <v>7733.86</v>
      </c>
      <c r="K63">
        <v>7733.86</v>
      </c>
      <c r="L63">
        <v>8.9909000000000003E-2</v>
      </c>
      <c r="M63">
        <v>10</v>
      </c>
      <c r="N63">
        <v>7733.86</v>
      </c>
      <c r="O63">
        <v>7733.86</v>
      </c>
      <c r="P63">
        <v>0.19401499999999999</v>
      </c>
      <c r="Q63">
        <v>10</v>
      </c>
    </row>
    <row r="64" spans="1:17" x14ac:dyDescent="0.3">
      <c r="A64" t="s">
        <v>356</v>
      </c>
      <c r="H64" s="5">
        <f>AVERAGE(H44:H63)</f>
        <v>9.6852350000000004E-2</v>
      </c>
      <c r="I64" s="1">
        <f>SUM(I44:I63)</f>
        <v>200</v>
      </c>
      <c r="L64" s="5">
        <f>AVERAGE(L44:L63)</f>
        <v>9.183535000000001E-2</v>
      </c>
      <c r="M64" s="1">
        <f>SUM(M44:M63)</f>
        <v>200</v>
      </c>
      <c r="P64" s="5">
        <f>AVERAGE(P44:P63)</f>
        <v>0.30644725000000006</v>
      </c>
      <c r="Q64" s="1">
        <f>SUM(Q44:Q63)</f>
        <v>200</v>
      </c>
    </row>
    <row r="65" spans="1:17" x14ac:dyDescent="0.3">
      <c r="A65" t="s">
        <v>360</v>
      </c>
      <c r="B65" t="s">
        <v>63</v>
      </c>
      <c r="E65">
        <v>114271</v>
      </c>
      <c r="F65">
        <v>114271</v>
      </c>
      <c r="G65">
        <v>114271</v>
      </c>
      <c r="H65">
        <v>1.9959469999999999</v>
      </c>
      <c r="I65">
        <v>10</v>
      </c>
      <c r="J65">
        <v>114271</v>
      </c>
      <c r="K65">
        <v>114271</v>
      </c>
      <c r="L65">
        <v>5.4524540000000004</v>
      </c>
      <c r="M65">
        <v>10</v>
      </c>
      <c r="N65">
        <v>114271</v>
      </c>
      <c r="O65">
        <v>114271</v>
      </c>
      <c r="P65">
        <v>33.052193000000003</v>
      </c>
      <c r="Q65">
        <v>10</v>
      </c>
    </row>
    <row r="66" spans="1:17" x14ac:dyDescent="0.3">
      <c r="B66" t="s">
        <v>64</v>
      </c>
      <c r="E66">
        <v>114327</v>
      </c>
      <c r="F66">
        <v>114327</v>
      </c>
      <c r="G66">
        <v>114327</v>
      </c>
      <c r="H66">
        <v>0.56396400000000002</v>
      </c>
      <c r="I66">
        <v>10</v>
      </c>
      <c r="J66">
        <v>114327</v>
      </c>
      <c r="K66">
        <v>114327</v>
      </c>
      <c r="L66">
        <v>0.86607199999999995</v>
      </c>
      <c r="M66">
        <v>10</v>
      </c>
      <c r="N66">
        <v>114327</v>
      </c>
      <c r="O66">
        <v>114327</v>
      </c>
      <c r="P66">
        <v>5.3214730000000001</v>
      </c>
      <c r="Q66">
        <v>10</v>
      </c>
    </row>
    <row r="67" spans="1:17" x14ac:dyDescent="0.3">
      <c r="B67" t="s">
        <v>65</v>
      </c>
      <c r="E67">
        <v>114195</v>
      </c>
      <c r="F67">
        <v>114195</v>
      </c>
      <c r="G67">
        <v>114195</v>
      </c>
      <c r="H67">
        <v>4.1768049999999999</v>
      </c>
      <c r="I67">
        <v>10</v>
      </c>
      <c r="J67">
        <v>114195</v>
      </c>
      <c r="K67">
        <v>114195</v>
      </c>
      <c r="L67">
        <v>7.4767270000000003</v>
      </c>
      <c r="M67">
        <v>10</v>
      </c>
      <c r="N67">
        <v>114195</v>
      </c>
      <c r="O67">
        <v>114195</v>
      </c>
      <c r="P67">
        <v>56.006498999999998</v>
      </c>
      <c r="Q67">
        <v>10</v>
      </c>
    </row>
    <row r="68" spans="1:17" x14ac:dyDescent="0.3">
      <c r="B68" t="s">
        <v>66</v>
      </c>
      <c r="E68">
        <v>114093</v>
      </c>
      <c r="F68">
        <v>114093</v>
      </c>
      <c r="G68">
        <v>114093</v>
      </c>
      <c r="H68">
        <v>12.312517</v>
      </c>
      <c r="I68">
        <v>10</v>
      </c>
      <c r="J68">
        <v>114093</v>
      </c>
      <c r="K68">
        <v>114093</v>
      </c>
      <c r="L68">
        <v>36.525607999999998</v>
      </c>
      <c r="M68">
        <v>10</v>
      </c>
      <c r="N68">
        <v>114093</v>
      </c>
      <c r="O68">
        <v>114092.8</v>
      </c>
      <c r="P68">
        <v>142.335239</v>
      </c>
      <c r="Q68">
        <v>9</v>
      </c>
    </row>
    <row r="69" spans="1:17" x14ac:dyDescent="0.3">
      <c r="B69" t="s">
        <v>67</v>
      </c>
      <c r="E69">
        <v>114196</v>
      </c>
      <c r="F69">
        <v>114196</v>
      </c>
      <c r="G69">
        <v>114196</v>
      </c>
      <c r="H69">
        <v>14.844989</v>
      </c>
      <c r="I69">
        <v>10</v>
      </c>
      <c r="J69">
        <v>114196</v>
      </c>
      <c r="K69">
        <v>114196</v>
      </c>
      <c r="L69">
        <v>21.459983000000001</v>
      </c>
      <c r="M69">
        <v>10</v>
      </c>
      <c r="N69">
        <v>114196</v>
      </c>
      <c r="O69">
        <v>114192.8</v>
      </c>
      <c r="P69">
        <v>191.35130599999999</v>
      </c>
      <c r="Q69">
        <v>8</v>
      </c>
    </row>
    <row r="70" spans="1:17" x14ac:dyDescent="0.3">
      <c r="B70" t="s">
        <v>68</v>
      </c>
      <c r="E70">
        <v>114265</v>
      </c>
      <c r="F70">
        <v>114265</v>
      </c>
      <c r="G70">
        <v>114265</v>
      </c>
      <c r="H70">
        <v>4.3832789999999999</v>
      </c>
      <c r="I70">
        <v>10</v>
      </c>
      <c r="J70">
        <v>114265</v>
      </c>
      <c r="K70">
        <v>114265</v>
      </c>
      <c r="L70">
        <v>13.220878000000001</v>
      </c>
      <c r="M70">
        <v>10</v>
      </c>
      <c r="N70">
        <v>114265</v>
      </c>
      <c r="O70">
        <v>114265</v>
      </c>
      <c r="P70">
        <v>77.803075000000007</v>
      </c>
      <c r="Q70">
        <v>10</v>
      </c>
    </row>
    <row r="71" spans="1:17" x14ac:dyDescent="0.3">
      <c r="B71" t="s">
        <v>69</v>
      </c>
      <c r="E71">
        <v>114361</v>
      </c>
      <c r="F71">
        <v>114361</v>
      </c>
      <c r="G71">
        <v>114361</v>
      </c>
      <c r="H71">
        <v>0.71698300000000004</v>
      </c>
      <c r="I71">
        <v>10</v>
      </c>
      <c r="J71">
        <v>114361</v>
      </c>
      <c r="K71">
        <v>114361</v>
      </c>
      <c r="L71">
        <v>0.76979500000000001</v>
      </c>
      <c r="M71">
        <v>10</v>
      </c>
      <c r="N71">
        <v>114361</v>
      </c>
      <c r="O71">
        <v>114361</v>
      </c>
      <c r="P71">
        <v>9.3361239999999999</v>
      </c>
      <c r="Q71">
        <v>10</v>
      </c>
    </row>
    <row r="72" spans="1:17" x14ac:dyDescent="0.3">
      <c r="B72" t="s">
        <v>70</v>
      </c>
      <c r="E72">
        <v>114327</v>
      </c>
      <c r="F72">
        <v>114327</v>
      </c>
      <c r="G72">
        <v>114327</v>
      </c>
      <c r="H72">
        <v>0.93187299999999995</v>
      </c>
      <c r="I72">
        <v>10</v>
      </c>
      <c r="J72">
        <v>114327</v>
      </c>
      <c r="K72">
        <v>114327</v>
      </c>
      <c r="L72">
        <v>1.7465280000000001</v>
      </c>
      <c r="M72">
        <v>10</v>
      </c>
      <c r="N72">
        <v>114327</v>
      </c>
      <c r="O72">
        <v>114327</v>
      </c>
      <c r="P72">
        <v>13.457515000000001</v>
      </c>
      <c r="Q72">
        <v>10</v>
      </c>
    </row>
    <row r="73" spans="1:17" x14ac:dyDescent="0.3">
      <c r="B73" t="s">
        <v>71</v>
      </c>
      <c r="E73">
        <v>114199</v>
      </c>
      <c r="F73">
        <v>114199</v>
      </c>
      <c r="G73">
        <v>114199</v>
      </c>
      <c r="H73">
        <v>3.3143069999999999</v>
      </c>
      <c r="I73">
        <v>10</v>
      </c>
      <c r="J73">
        <v>114199</v>
      </c>
      <c r="K73">
        <v>114199</v>
      </c>
      <c r="L73">
        <v>9.9330079999999992</v>
      </c>
      <c r="M73">
        <v>10</v>
      </c>
      <c r="N73">
        <v>114199</v>
      </c>
      <c r="O73">
        <v>114199</v>
      </c>
      <c r="P73">
        <v>101.59750200000001</v>
      </c>
      <c r="Q73">
        <v>10</v>
      </c>
    </row>
    <row r="74" spans="1:17" x14ac:dyDescent="0.3">
      <c r="B74" t="s">
        <v>72</v>
      </c>
      <c r="E74">
        <v>114229</v>
      </c>
      <c r="F74">
        <v>114229</v>
      </c>
      <c r="G74">
        <v>114229</v>
      </c>
      <c r="H74">
        <v>2.1267209999999999</v>
      </c>
      <c r="I74">
        <v>10</v>
      </c>
      <c r="J74">
        <v>114229</v>
      </c>
      <c r="K74">
        <v>114229</v>
      </c>
      <c r="L74">
        <v>5.2451179999999997</v>
      </c>
      <c r="M74">
        <v>10</v>
      </c>
      <c r="N74">
        <v>114229</v>
      </c>
      <c r="O74">
        <v>114229</v>
      </c>
      <c r="P74">
        <v>11.590263</v>
      </c>
      <c r="Q74">
        <v>10</v>
      </c>
    </row>
    <row r="75" spans="1:17" x14ac:dyDescent="0.3">
      <c r="B75" t="s">
        <v>73</v>
      </c>
      <c r="E75">
        <v>114214</v>
      </c>
      <c r="F75">
        <v>114214</v>
      </c>
      <c r="G75">
        <v>114214</v>
      </c>
      <c r="H75">
        <v>2.465703</v>
      </c>
      <c r="I75">
        <v>10</v>
      </c>
      <c r="J75">
        <v>114214</v>
      </c>
      <c r="K75">
        <v>114214</v>
      </c>
      <c r="L75">
        <v>4.9627379999999999</v>
      </c>
      <c r="M75">
        <v>10</v>
      </c>
      <c r="N75">
        <v>114214</v>
      </c>
      <c r="O75">
        <v>114214</v>
      </c>
      <c r="P75">
        <v>101.97045199999999</v>
      </c>
      <c r="Q75">
        <v>10</v>
      </c>
    </row>
    <row r="76" spans="1:17" x14ac:dyDescent="0.3">
      <c r="B76" t="s">
        <v>74</v>
      </c>
      <c r="E76">
        <v>114214</v>
      </c>
      <c r="F76">
        <v>114214</v>
      </c>
      <c r="G76">
        <v>114214</v>
      </c>
      <c r="H76">
        <v>7.5068900000000003</v>
      </c>
      <c r="I76">
        <v>10</v>
      </c>
      <c r="J76">
        <v>114214</v>
      </c>
      <c r="K76">
        <v>114214</v>
      </c>
      <c r="L76">
        <v>23.003167999999999</v>
      </c>
      <c r="M76">
        <v>10</v>
      </c>
      <c r="N76">
        <v>114214</v>
      </c>
      <c r="O76">
        <v>114214</v>
      </c>
      <c r="P76">
        <v>199.553653</v>
      </c>
      <c r="Q76">
        <v>10</v>
      </c>
    </row>
    <row r="77" spans="1:17" x14ac:dyDescent="0.3">
      <c r="B77" t="s">
        <v>75</v>
      </c>
      <c r="E77">
        <v>114233</v>
      </c>
      <c r="F77">
        <v>114233</v>
      </c>
      <c r="G77">
        <v>114233</v>
      </c>
      <c r="H77">
        <v>2.9142139999999999</v>
      </c>
      <c r="I77">
        <v>10</v>
      </c>
      <c r="J77">
        <v>114233</v>
      </c>
      <c r="K77">
        <v>114233</v>
      </c>
      <c r="L77">
        <v>6.7675179999999999</v>
      </c>
      <c r="M77">
        <v>10</v>
      </c>
      <c r="N77">
        <v>114233</v>
      </c>
      <c r="O77">
        <v>114233</v>
      </c>
      <c r="P77">
        <v>45.86045</v>
      </c>
      <c r="Q77">
        <v>10</v>
      </c>
    </row>
    <row r="78" spans="1:17" x14ac:dyDescent="0.3">
      <c r="B78" t="s">
        <v>76</v>
      </c>
      <c r="E78">
        <v>114216</v>
      </c>
      <c r="F78">
        <v>114216</v>
      </c>
      <c r="G78">
        <v>114216</v>
      </c>
      <c r="H78">
        <v>0.452154</v>
      </c>
      <c r="I78">
        <v>10</v>
      </c>
      <c r="J78">
        <v>114216</v>
      </c>
      <c r="K78">
        <v>114216</v>
      </c>
      <c r="L78">
        <v>0.89144599999999996</v>
      </c>
      <c r="M78">
        <v>10</v>
      </c>
      <c r="N78">
        <v>114216</v>
      </c>
      <c r="O78">
        <v>114216</v>
      </c>
      <c r="P78">
        <v>6.6183930000000002</v>
      </c>
      <c r="Q78">
        <v>10</v>
      </c>
    </row>
    <row r="79" spans="1:17" x14ac:dyDescent="0.3">
      <c r="B79" t="s">
        <v>77</v>
      </c>
      <c r="E79">
        <v>114240</v>
      </c>
      <c r="F79">
        <v>114240</v>
      </c>
      <c r="G79">
        <v>114240</v>
      </c>
      <c r="H79">
        <v>7.7652489999999998</v>
      </c>
      <c r="I79">
        <v>10</v>
      </c>
      <c r="J79">
        <v>114240</v>
      </c>
      <c r="K79">
        <v>114240</v>
      </c>
      <c r="L79">
        <v>22.500945000000002</v>
      </c>
      <c r="M79">
        <v>10</v>
      </c>
      <c r="N79">
        <v>114240</v>
      </c>
      <c r="O79">
        <v>114240</v>
      </c>
      <c r="P79">
        <v>117.05105</v>
      </c>
      <c r="Q79">
        <v>10</v>
      </c>
    </row>
    <row r="80" spans="1:17" x14ac:dyDescent="0.3">
      <c r="B80" t="s">
        <v>78</v>
      </c>
      <c r="E80">
        <v>114335</v>
      </c>
      <c r="F80">
        <v>114335</v>
      </c>
      <c r="G80">
        <v>114335</v>
      </c>
      <c r="H80">
        <v>2.0167670000000002</v>
      </c>
      <c r="I80">
        <v>10</v>
      </c>
      <c r="J80">
        <v>114335</v>
      </c>
      <c r="K80">
        <v>114335</v>
      </c>
      <c r="L80">
        <v>3.8197779999999999</v>
      </c>
      <c r="M80">
        <v>10</v>
      </c>
      <c r="N80">
        <v>114335</v>
      </c>
      <c r="O80">
        <v>114335</v>
      </c>
      <c r="P80">
        <v>19.962019000000002</v>
      </c>
      <c r="Q80">
        <v>10</v>
      </c>
    </row>
    <row r="81" spans="1:17" x14ac:dyDescent="0.3">
      <c r="B81" t="s">
        <v>79</v>
      </c>
      <c r="E81">
        <v>114255</v>
      </c>
      <c r="F81">
        <v>114255</v>
      </c>
      <c r="G81">
        <v>114255</v>
      </c>
      <c r="H81">
        <v>3.0561410000000002</v>
      </c>
      <c r="I81">
        <v>10</v>
      </c>
      <c r="J81">
        <v>114255</v>
      </c>
      <c r="K81">
        <v>114255</v>
      </c>
      <c r="L81">
        <v>2.4965510000000002</v>
      </c>
      <c r="M81">
        <v>10</v>
      </c>
      <c r="N81">
        <v>114255</v>
      </c>
      <c r="O81">
        <v>114255</v>
      </c>
      <c r="P81">
        <v>21.442101000000001</v>
      </c>
      <c r="Q81">
        <v>10</v>
      </c>
    </row>
    <row r="82" spans="1:17" x14ac:dyDescent="0.3">
      <c r="B82" t="s">
        <v>80</v>
      </c>
      <c r="E82">
        <v>114408</v>
      </c>
      <c r="F82">
        <v>114408</v>
      </c>
      <c r="G82">
        <v>114408</v>
      </c>
      <c r="H82">
        <v>1.2041999999999999</v>
      </c>
      <c r="I82">
        <v>10</v>
      </c>
      <c r="J82">
        <v>114408</v>
      </c>
      <c r="K82">
        <v>114408</v>
      </c>
      <c r="L82">
        <v>1.882056</v>
      </c>
      <c r="M82">
        <v>10</v>
      </c>
      <c r="N82">
        <v>114408</v>
      </c>
      <c r="O82">
        <v>114408</v>
      </c>
      <c r="P82">
        <v>13.335222</v>
      </c>
      <c r="Q82">
        <v>10</v>
      </c>
    </row>
    <row r="83" spans="1:17" x14ac:dyDescent="0.3">
      <c r="B83" t="s">
        <v>81</v>
      </c>
      <c r="E83">
        <v>114201</v>
      </c>
      <c r="F83">
        <v>114201</v>
      </c>
      <c r="G83">
        <v>114201</v>
      </c>
      <c r="H83">
        <v>0.95239600000000002</v>
      </c>
      <c r="I83">
        <v>10</v>
      </c>
      <c r="J83">
        <v>114201</v>
      </c>
      <c r="K83">
        <v>114201</v>
      </c>
      <c r="L83">
        <v>1.517582</v>
      </c>
      <c r="M83">
        <v>10</v>
      </c>
      <c r="N83">
        <v>114201</v>
      </c>
      <c r="O83">
        <v>114201</v>
      </c>
      <c r="P83">
        <v>9.1227319999999992</v>
      </c>
      <c r="Q83">
        <v>10</v>
      </c>
    </row>
    <row r="84" spans="1:17" x14ac:dyDescent="0.3">
      <c r="B84" t="s">
        <v>82</v>
      </c>
      <c r="E84">
        <v>114349</v>
      </c>
      <c r="F84">
        <v>114349</v>
      </c>
      <c r="G84">
        <v>114349</v>
      </c>
      <c r="H84">
        <v>1.294699</v>
      </c>
      <c r="I84">
        <v>10</v>
      </c>
      <c r="J84">
        <v>114349</v>
      </c>
      <c r="K84">
        <v>114349</v>
      </c>
      <c r="L84">
        <v>1.645635</v>
      </c>
      <c r="M84">
        <v>10</v>
      </c>
      <c r="N84">
        <v>114349</v>
      </c>
      <c r="O84">
        <v>114349</v>
      </c>
      <c r="P84">
        <v>25.528635999999999</v>
      </c>
      <c r="Q84">
        <v>10</v>
      </c>
    </row>
    <row r="85" spans="1:17" x14ac:dyDescent="0.3">
      <c r="A85" t="s">
        <v>356</v>
      </c>
      <c r="H85" s="5">
        <f>AVERAGE(H65:H84)</f>
        <v>3.7497898999999988</v>
      </c>
      <c r="I85" s="1">
        <f>SUM(I65:I84)</f>
        <v>200</v>
      </c>
      <c r="L85" s="5">
        <f>AVERAGE(L65:L84)</f>
        <v>8.6091794000000021</v>
      </c>
      <c r="M85" s="1">
        <f>SUM(M65:M84)</f>
        <v>200</v>
      </c>
      <c r="O85" s="2">
        <f t="array" ref="O85">AVERAGE((E65:E84-O65:O84)/E65:E84)</f>
        <v>1.4887476594863807E-6</v>
      </c>
      <c r="Q85" s="1">
        <f>SUM(Q65:Q84)</f>
        <v>197</v>
      </c>
    </row>
    <row r="86" spans="1:17" x14ac:dyDescent="0.3">
      <c r="A86" t="s">
        <v>361</v>
      </c>
      <c r="B86" t="s">
        <v>83</v>
      </c>
      <c r="E86">
        <v>778030.57</v>
      </c>
      <c r="F86">
        <v>778030.57</v>
      </c>
      <c r="G86">
        <v>778030.57</v>
      </c>
      <c r="H86">
        <v>0.103174</v>
      </c>
      <c r="I86">
        <v>10</v>
      </c>
      <c r="J86">
        <v>778030.57</v>
      </c>
      <c r="K86">
        <v>778030.57</v>
      </c>
      <c r="L86">
        <v>9.4925999999999996E-2</v>
      </c>
      <c r="M86">
        <v>10</v>
      </c>
      <c r="N86">
        <v>778030.57</v>
      </c>
      <c r="O86">
        <v>778030.57</v>
      </c>
      <c r="P86">
        <v>8.0179E-2</v>
      </c>
      <c r="Q86">
        <v>10</v>
      </c>
    </row>
    <row r="87" spans="1:17" x14ac:dyDescent="0.3">
      <c r="B87" t="s">
        <v>84</v>
      </c>
      <c r="E87">
        <v>779963.54</v>
      </c>
      <c r="F87">
        <v>779963.54</v>
      </c>
      <c r="G87">
        <v>779963.54</v>
      </c>
      <c r="H87">
        <v>7.3733999999999994E-2</v>
      </c>
      <c r="I87">
        <v>10</v>
      </c>
      <c r="J87">
        <v>779963.54</v>
      </c>
      <c r="K87">
        <v>779963.54</v>
      </c>
      <c r="L87">
        <v>7.4175000000000005E-2</v>
      </c>
      <c r="M87">
        <v>10</v>
      </c>
      <c r="N87">
        <v>779963.54</v>
      </c>
      <c r="O87">
        <v>779963.54</v>
      </c>
      <c r="P87">
        <v>0.102391</v>
      </c>
      <c r="Q87">
        <v>10</v>
      </c>
    </row>
    <row r="88" spans="1:17" x14ac:dyDescent="0.3">
      <c r="B88" t="s">
        <v>85</v>
      </c>
      <c r="E88">
        <v>776768.17</v>
      </c>
      <c r="F88">
        <v>776768.17</v>
      </c>
      <c r="G88">
        <v>776768.17</v>
      </c>
      <c r="H88">
        <v>0.128579</v>
      </c>
      <c r="I88">
        <v>10</v>
      </c>
      <c r="J88">
        <v>776768.17</v>
      </c>
      <c r="K88">
        <v>776768.17</v>
      </c>
      <c r="L88">
        <v>0.124587</v>
      </c>
      <c r="M88">
        <v>10</v>
      </c>
      <c r="N88">
        <v>776768.17</v>
      </c>
      <c r="O88">
        <v>776768.17</v>
      </c>
      <c r="P88">
        <v>0.108513</v>
      </c>
      <c r="Q88">
        <v>10</v>
      </c>
    </row>
    <row r="89" spans="1:17" x14ac:dyDescent="0.3">
      <c r="B89" t="s">
        <v>86</v>
      </c>
      <c r="E89">
        <v>775394.47</v>
      </c>
      <c r="F89">
        <v>775394.47</v>
      </c>
      <c r="G89">
        <v>775394.47</v>
      </c>
      <c r="H89">
        <v>0.11355800000000001</v>
      </c>
      <c r="I89">
        <v>10</v>
      </c>
      <c r="J89">
        <v>775394.47</v>
      </c>
      <c r="K89">
        <v>775394.47</v>
      </c>
      <c r="L89">
        <v>0.11729299999999999</v>
      </c>
      <c r="M89">
        <v>10</v>
      </c>
      <c r="N89">
        <v>775394.47</v>
      </c>
      <c r="O89">
        <v>775394.47</v>
      </c>
      <c r="P89">
        <v>0.23555599999999999</v>
      </c>
      <c r="Q89">
        <v>10</v>
      </c>
    </row>
    <row r="90" spans="1:17" x14ac:dyDescent="0.3">
      <c r="B90" t="s">
        <v>87</v>
      </c>
      <c r="E90">
        <v>775610.96</v>
      </c>
      <c r="F90">
        <v>775610.96</v>
      </c>
      <c r="G90">
        <v>775610.96</v>
      </c>
      <c r="H90">
        <v>0.107032</v>
      </c>
      <c r="I90">
        <v>10</v>
      </c>
      <c r="J90">
        <v>775610.96</v>
      </c>
      <c r="K90">
        <v>775610.96</v>
      </c>
      <c r="L90">
        <v>9.7699999999999995E-2</v>
      </c>
      <c r="M90">
        <v>10</v>
      </c>
      <c r="N90">
        <v>775610.96</v>
      </c>
      <c r="O90">
        <v>775610.96</v>
      </c>
      <c r="P90">
        <v>0.42602000000000001</v>
      </c>
      <c r="Q90">
        <v>10</v>
      </c>
    </row>
    <row r="91" spans="1:17" x14ac:dyDescent="0.3">
      <c r="B91" t="s">
        <v>88</v>
      </c>
      <c r="E91">
        <v>775153.58</v>
      </c>
      <c r="F91">
        <v>775153.58</v>
      </c>
      <c r="G91">
        <v>775153.58</v>
      </c>
      <c r="H91">
        <v>8.6976999999999999E-2</v>
      </c>
      <c r="I91">
        <v>10</v>
      </c>
      <c r="J91">
        <v>775153.58</v>
      </c>
      <c r="K91">
        <v>775153.58</v>
      </c>
      <c r="L91">
        <v>8.8384000000000004E-2</v>
      </c>
      <c r="M91">
        <v>10</v>
      </c>
      <c r="N91">
        <v>775153.58</v>
      </c>
      <c r="O91">
        <v>775153.58</v>
      </c>
      <c r="P91">
        <v>9.1950000000000004E-2</v>
      </c>
      <c r="Q91">
        <v>10</v>
      </c>
    </row>
    <row r="92" spans="1:17" x14ac:dyDescent="0.3">
      <c r="B92" t="s">
        <v>89</v>
      </c>
      <c r="E92">
        <v>777232.88</v>
      </c>
      <c r="F92">
        <v>777232.88</v>
      </c>
      <c r="G92">
        <v>777232.88</v>
      </c>
      <c r="H92">
        <v>0.100712</v>
      </c>
      <c r="I92">
        <v>10</v>
      </c>
      <c r="J92">
        <v>777232.88</v>
      </c>
      <c r="K92">
        <v>777232.88</v>
      </c>
      <c r="L92">
        <v>9.2357999999999996E-2</v>
      </c>
      <c r="M92">
        <v>10</v>
      </c>
      <c r="N92">
        <v>777232.88</v>
      </c>
      <c r="O92">
        <v>777232.88</v>
      </c>
      <c r="P92">
        <v>0.16563600000000001</v>
      </c>
      <c r="Q92">
        <v>10</v>
      </c>
    </row>
    <row r="93" spans="1:17" x14ac:dyDescent="0.3">
      <c r="B93" t="s">
        <v>90</v>
      </c>
      <c r="E93">
        <v>779168.62</v>
      </c>
      <c r="F93">
        <v>779168.62</v>
      </c>
      <c r="G93">
        <v>779168.62</v>
      </c>
      <c r="H93">
        <v>7.7602000000000004E-2</v>
      </c>
      <c r="I93">
        <v>10</v>
      </c>
      <c r="J93">
        <v>779168.62</v>
      </c>
      <c r="K93">
        <v>779168.62</v>
      </c>
      <c r="L93">
        <v>7.0934999999999998E-2</v>
      </c>
      <c r="M93">
        <v>10</v>
      </c>
      <c r="N93">
        <v>779168.62</v>
      </c>
      <c r="O93">
        <v>779168.62</v>
      </c>
      <c r="P93">
        <v>5.8318000000000002E-2</v>
      </c>
      <c r="Q93">
        <v>10</v>
      </c>
    </row>
    <row r="94" spans="1:17" x14ac:dyDescent="0.3">
      <c r="B94" t="s">
        <v>91</v>
      </c>
      <c r="E94">
        <v>774802.05</v>
      </c>
      <c r="F94">
        <v>774802.05</v>
      </c>
      <c r="G94">
        <v>774802.05</v>
      </c>
      <c r="H94">
        <v>0.108474</v>
      </c>
      <c r="I94">
        <v>10</v>
      </c>
      <c r="J94">
        <v>774802.05</v>
      </c>
      <c r="K94">
        <v>774802.05</v>
      </c>
      <c r="L94">
        <v>9.4329999999999997E-2</v>
      </c>
      <c r="M94">
        <v>10</v>
      </c>
      <c r="N94">
        <v>774802.05</v>
      </c>
      <c r="O94">
        <v>774802.05</v>
      </c>
      <c r="P94">
        <v>0.237124</v>
      </c>
      <c r="Q94">
        <v>10</v>
      </c>
    </row>
    <row r="95" spans="1:17" x14ac:dyDescent="0.3">
      <c r="B95" t="s">
        <v>92</v>
      </c>
      <c r="E95">
        <v>774961.12</v>
      </c>
      <c r="F95">
        <v>774961.12</v>
      </c>
      <c r="G95">
        <v>774961.12</v>
      </c>
      <c r="H95">
        <v>0.117869</v>
      </c>
      <c r="I95">
        <v>10</v>
      </c>
      <c r="J95">
        <v>774961.12</v>
      </c>
      <c r="K95">
        <v>774961.12</v>
      </c>
      <c r="L95">
        <v>0.15645700000000001</v>
      </c>
      <c r="M95">
        <v>10</v>
      </c>
      <c r="N95">
        <v>774961.12</v>
      </c>
      <c r="O95">
        <v>774961.12</v>
      </c>
      <c r="P95">
        <v>1.1094619999999999</v>
      </c>
      <c r="Q95">
        <v>10</v>
      </c>
    </row>
    <row r="96" spans="1:17" x14ac:dyDescent="0.3">
      <c r="B96" t="s">
        <v>93</v>
      </c>
      <c r="E96">
        <v>777468.78</v>
      </c>
      <c r="F96">
        <v>777468.78</v>
      </c>
      <c r="G96">
        <v>777468.78</v>
      </c>
      <c r="H96">
        <v>7.7229999999999993E-2</v>
      </c>
      <c r="I96">
        <v>10</v>
      </c>
      <c r="J96">
        <v>777468.78</v>
      </c>
      <c r="K96">
        <v>777468.78</v>
      </c>
      <c r="L96">
        <v>7.3736999999999997E-2</v>
      </c>
      <c r="M96">
        <v>10</v>
      </c>
      <c r="N96">
        <v>777468.78</v>
      </c>
      <c r="O96">
        <v>777468.78</v>
      </c>
      <c r="P96">
        <v>0.37215100000000001</v>
      </c>
      <c r="Q96">
        <v>10</v>
      </c>
    </row>
    <row r="97" spans="1:17" x14ac:dyDescent="0.3">
      <c r="B97" t="s">
        <v>94</v>
      </c>
      <c r="E97">
        <v>775492.89</v>
      </c>
      <c r="F97">
        <v>775492.89</v>
      </c>
      <c r="G97">
        <v>775492.89</v>
      </c>
      <c r="H97">
        <v>0.113704</v>
      </c>
      <c r="I97">
        <v>10</v>
      </c>
      <c r="J97">
        <v>775492.89</v>
      </c>
      <c r="K97">
        <v>775492.89</v>
      </c>
      <c r="L97">
        <v>0.10451199999999999</v>
      </c>
      <c r="M97">
        <v>10</v>
      </c>
      <c r="N97">
        <v>775492.89</v>
      </c>
      <c r="O97">
        <v>775492.89</v>
      </c>
      <c r="P97">
        <v>0.15218200000000001</v>
      </c>
      <c r="Q97">
        <v>10</v>
      </c>
    </row>
    <row r="98" spans="1:17" x14ac:dyDescent="0.3">
      <c r="B98" t="s">
        <v>95</v>
      </c>
      <c r="E98">
        <v>780191.78</v>
      </c>
      <c r="F98">
        <v>780191.78</v>
      </c>
      <c r="G98">
        <v>780191.78</v>
      </c>
      <c r="H98">
        <v>7.8394000000000005E-2</v>
      </c>
      <c r="I98">
        <v>10</v>
      </c>
      <c r="J98">
        <v>780191.78</v>
      </c>
      <c r="K98">
        <v>780191.78</v>
      </c>
      <c r="L98">
        <v>6.3412999999999997E-2</v>
      </c>
      <c r="M98">
        <v>10</v>
      </c>
      <c r="N98">
        <v>780191.78</v>
      </c>
      <c r="O98">
        <v>780191.78</v>
      </c>
      <c r="P98">
        <v>9.7785999999999998E-2</v>
      </c>
      <c r="Q98">
        <v>10</v>
      </c>
    </row>
    <row r="99" spans="1:17" x14ac:dyDescent="0.3">
      <c r="B99" t="s">
        <v>96</v>
      </c>
      <c r="E99">
        <v>782232.68</v>
      </c>
      <c r="F99">
        <v>782232.68</v>
      </c>
      <c r="G99">
        <v>782232.68</v>
      </c>
      <c r="H99">
        <v>6.4452999999999996E-2</v>
      </c>
      <c r="I99">
        <v>10</v>
      </c>
      <c r="J99">
        <v>782232.68</v>
      </c>
      <c r="K99">
        <v>782232.68</v>
      </c>
      <c r="L99">
        <v>5.4858999999999998E-2</v>
      </c>
      <c r="M99">
        <v>10</v>
      </c>
      <c r="N99">
        <v>782232.68</v>
      </c>
      <c r="O99">
        <v>782232.68</v>
      </c>
      <c r="P99">
        <v>0.20554</v>
      </c>
      <c r="Q99">
        <v>10</v>
      </c>
    </row>
    <row r="100" spans="1:17" x14ac:dyDescent="0.3">
      <c r="B100" t="s">
        <v>97</v>
      </c>
      <c r="E100">
        <v>780300.33</v>
      </c>
      <c r="F100">
        <v>780300.33</v>
      </c>
      <c r="G100">
        <v>780300.33</v>
      </c>
      <c r="H100">
        <v>9.9884000000000001E-2</v>
      </c>
      <c r="I100">
        <v>10</v>
      </c>
      <c r="J100">
        <v>780300.33</v>
      </c>
      <c r="K100">
        <v>780300.33</v>
      </c>
      <c r="L100">
        <v>9.4087000000000004E-2</v>
      </c>
      <c r="M100">
        <v>10</v>
      </c>
      <c r="N100">
        <v>780300.33</v>
      </c>
      <c r="O100">
        <v>780300.33</v>
      </c>
      <c r="P100">
        <v>6.7406999999999995E-2</v>
      </c>
      <c r="Q100">
        <v>10</v>
      </c>
    </row>
    <row r="101" spans="1:17" x14ac:dyDescent="0.3">
      <c r="B101" t="s">
        <v>98</v>
      </c>
      <c r="E101">
        <v>775436.19</v>
      </c>
      <c r="F101">
        <v>775436.19</v>
      </c>
      <c r="G101">
        <v>775436.19</v>
      </c>
      <c r="H101">
        <v>8.5972999999999994E-2</v>
      </c>
      <c r="I101">
        <v>10</v>
      </c>
      <c r="J101">
        <v>775436.19</v>
      </c>
      <c r="K101">
        <v>775436.19</v>
      </c>
      <c r="L101">
        <v>8.3471000000000004E-2</v>
      </c>
      <c r="M101">
        <v>10</v>
      </c>
      <c r="N101">
        <v>775436.19</v>
      </c>
      <c r="O101">
        <v>775436.19</v>
      </c>
      <c r="P101">
        <v>6.3299999999999995E-2</v>
      </c>
      <c r="Q101">
        <v>10</v>
      </c>
    </row>
    <row r="102" spans="1:17" x14ac:dyDescent="0.3">
      <c r="B102" t="s">
        <v>99</v>
      </c>
      <c r="E102">
        <v>776618.99</v>
      </c>
      <c r="F102">
        <v>776618.99</v>
      </c>
      <c r="G102">
        <v>776618.99</v>
      </c>
      <c r="H102">
        <v>9.7134999999999999E-2</v>
      </c>
      <c r="I102">
        <v>10</v>
      </c>
      <c r="J102">
        <v>776618.99</v>
      </c>
      <c r="K102">
        <v>776618.99</v>
      </c>
      <c r="L102">
        <v>0.11182599999999999</v>
      </c>
      <c r="M102">
        <v>10</v>
      </c>
      <c r="N102">
        <v>776618.99</v>
      </c>
      <c r="O102">
        <v>776618.99</v>
      </c>
      <c r="P102">
        <v>0.74610699999999996</v>
      </c>
      <c r="Q102">
        <v>10</v>
      </c>
    </row>
    <row r="103" spans="1:17" x14ac:dyDescent="0.3">
      <c r="B103" t="s">
        <v>100</v>
      </c>
      <c r="E103">
        <v>775850.64</v>
      </c>
      <c r="F103">
        <v>775850.64</v>
      </c>
      <c r="G103">
        <v>775850.64</v>
      </c>
      <c r="H103">
        <v>0.10692699999999999</v>
      </c>
      <c r="I103">
        <v>10</v>
      </c>
      <c r="J103">
        <v>775850.64</v>
      </c>
      <c r="K103">
        <v>775850.64</v>
      </c>
      <c r="L103">
        <v>0.153809</v>
      </c>
      <c r="M103">
        <v>10</v>
      </c>
      <c r="N103">
        <v>775850.64</v>
      </c>
      <c r="O103">
        <v>775850.64</v>
      </c>
      <c r="P103">
        <v>0.52682499999999999</v>
      </c>
      <c r="Q103">
        <v>10</v>
      </c>
    </row>
    <row r="104" spans="1:17" x14ac:dyDescent="0.3">
      <c r="B104" t="s">
        <v>101</v>
      </c>
      <c r="E104">
        <v>778802.82</v>
      </c>
      <c r="F104">
        <v>778802.82</v>
      </c>
      <c r="G104">
        <v>778802.82</v>
      </c>
      <c r="H104">
        <v>9.9183999999999994E-2</v>
      </c>
      <c r="I104">
        <v>10</v>
      </c>
      <c r="J104">
        <v>778802.82</v>
      </c>
      <c r="K104">
        <v>778802.82</v>
      </c>
      <c r="L104">
        <v>8.9048000000000002E-2</v>
      </c>
      <c r="M104">
        <v>10</v>
      </c>
      <c r="N104">
        <v>778802.82</v>
      </c>
      <c r="O104">
        <v>778802.82</v>
      </c>
      <c r="P104">
        <v>0.27984799999999999</v>
      </c>
      <c r="Q104">
        <v>10</v>
      </c>
    </row>
    <row r="105" spans="1:17" x14ac:dyDescent="0.3">
      <c r="B105" t="s">
        <v>102</v>
      </c>
      <c r="E105">
        <v>778644.65</v>
      </c>
      <c r="F105">
        <v>778644.65</v>
      </c>
      <c r="G105">
        <v>778644.65</v>
      </c>
      <c r="H105">
        <v>8.9115E-2</v>
      </c>
      <c r="I105">
        <v>10</v>
      </c>
      <c r="J105">
        <v>778644.65</v>
      </c>
      <c r="K105">
        <v>778644.65</v>
      </c>
      <c r="L105">
        <v>9.6793000000000004E-2</v>
      </c>
      <c r="M105">
        <v>10</v>
      </c>
      <c r="N105">
        <v>778644.65</v>
      </c>
      <c r="O105">
        <v>778644.65</v>
      </c>
      <c r="P105">
        <v>0.27104099999999998</v>
      </c>
      <c r="Q105">
        <v>10</v>
      </c>
    </row>
    <row r="106" spans="1:17" x14ac:dyDescent="0.3">
      <c r="A106" t="s">
        <v>356</v>
      </c>
      <c r="H106" s="5">
        <f>AVERAGE(H86:H105)</f>
        <v>9.6485500000000016E-2</v>
      </c>
      <c r="I106" s="1">
        <f>SUM(I86:I105)</f>
        <v>200</v>
      </c>
      <c r="L106" s="5">
        <f>AVERAGE(L86:L105)</f>
        <v>9.6834999999999991E-2</v>
      </c>
      <c r="M106" s="1">
        <f>SUM(M86:M105)</f>
        <v>200</v>
      </c>
      <c r="P106" s="5">
        <f>AVERAGE(P86:P105)</f>
        <v>0.26986680000000002</v>
      </c>
      <c r="Q106" s="1">
        <f>SUM(Q86:Q105)</f>
        <v>200</v>
      </c>
    </row>
    <row r="107" spans="1:17" x14ac:dyDescent="0.3">
      <c r="A107" t="s">
        <v>362</v>
      </c>
      <c r="B107" t="s">
        <v>103</v>
      </c>
      <c r="E107">
        <v>11299894.826950001</v>
      </c>
      <c r="F107">
        <v>11299894.83</v>
      </c>
      <c r="G107">
        <v>11299894.83</v>
      </c>
      <c r="H107">
        <v>0.53998199999999996</v>
      </c>
      <c r="I107">
        <v>10</v>
      </c>
      <c r="J107">
        <v>11299894.83</v>
      </c>
      <c r="K107">
        <v>11299894.83</v>
      </c>
      <c r="L107">
        <v>0.92870299999999995</v>
      </c>
      <c r="M107">
        <v>10</v>
      </c>
      <c r="N107">
        <v>11299894.83</v>
      </c>
      <c r="O107">
        <v>11299894.83</v>
      </c>
      <c r="P107">
        <v>8.7036119999999997</v>
      </c>
      <c r="Q107">
        <v>10</v>
      </c>
    </row>
    <row r="108" spans="1:17" x14ac:dyDescent="0.3">
      <c r="B108" t="s">
        <v>104</v>
      </c>
      <c r="E108">
        <v>11292398.161482001</v>
      </c>
      <c r="F108">
        <v>11292398.16</v>
      </c>
      <c r="G108">
        <v>11292398.16</v>
      </c>
      <c r="H108">
        <v>9.6107759999999995</v>
      </c>
      <c r="I108">
        <v>10</v>
      </c>
      <c r="J108">
        <v>11292398.16</v>
      </c>
      <c r="K108">
        <v>11292398.16</v>
      </c>
      <c r="L108">
        <v>18.122105999999999</v>
      </c>
      <c r="M108">
        <v>10</v>
      </c>
      <c r="N108">
        <v>11292398.16</v>
      </c>
      <c r="O108">
        <v>11292398.16</v>
      </c>
      <c r="P108">
        <v>103.860124</v>
      </c>
      <c r="Q108">
        <v>10</v>
      </c>
    </row>
    <row r="109" spans="1:17" x14ac:dyDescent="0.3">
      <c r="B109" t="s">
        <v>105</v>
      </c>
      <c r="E109">
        <v>11299940.462685</v>
      </c>
      <c r="F109">
        <v>11299940.460000001</v>
      </c>
      <c r="G109">
        <v>11299940.460000001</v>
      </c>
      <c r="H109">
        <v>0.99538099999999996</v>
      </c>
      <c r="I109">
        <v>10</v>
      </c>
      <c r="J109">
        <v>11299940.460000001</v>
      </c>
      <c r="K109">
        <v>11299940.460000001</v>
      </c>
      <c r="L109">
        <v>1.4157390000000001</v>
      </c>
      <c r="M109">
        <v>10</v>
      </c>
      <c r="N109">
        <v>11299940.460000001</v>
      </c>
      <c r="O109">
        <v>11299940.460000001</v>
      </c>
      <c r="P109">
        <v>12.954326</v>
      </c>
      <c r="Q109">
        <v>10</v>
      </c>
    </row>
    <row r="110" spans="1:17" x14ac:dyDescent="0.3">
      <c r="B110" t="s">
        <v>106</v>
      </c>
      <c r="E110">
        <v>11291119.490684001</v>
      </c>
      <c r="F110">
        <v>11291119.49</v>
      </c>
      <c r="G110">
        <v>11291119.49</v>
      </c>
      <c r="H110">
        <v>7.7286760000000001</v>
      </c>
      <c r="I110">
        <v>10</v>
      </c>
      <c r="J110">
        <v>11291119.49</v>
      </c>
      <c r="K110">
        <v>11291119.49</v>
      </c>
      <c r="L110">
        <v>11.576221</v>
      </c>
      <c r="M110">
        <v>10</v>
      </c>
      <c r="N110">
        <v>11291119.49</v>
      </c>
      <c r="O110">
        <v>11291119.49</v>
      </c>
      <c r="P110">
        <v>62.148434999999999</v>
      </c>
      <c r="Q110">
        <v>10</v>
      </c>
    </row>
    <row r="111" spans="1:17" x14ac:dyDescent="0.3">
      <c r="B111" t="s">
        <v>107</v>
      </c>
      <c r="E111">
        <v>11298026.880925</v>
      </c>
      <c r="F111">
        <v>11298026.880000001</v>
      </c>
      <c r="G111">
        <v>11298026.880000001</v>
      </c>
      <c r="H111">
        <v>7.4290149999999997</v>
      </c>
      <c r="I111">
        <v>10</v>
      </c>
      <c r="J111">
        <v>11298026.880000001</v>
      </c>
      <c r="K111">
        <v>11298026.880000001</v>
      </c>
      <c r="L111">
        <v>12.664332999999999</v>
      </c>
      <c r="M111">
        <v>10</v>
      </c>
      <c r="N111">
        <v>11298026.880000001</v>
      </c>
      <c r="O111">
        <v>11298026.880000001</v>
      </c>
      <c r="P111">
        <v>65.812240000000003</v>
      </c>
      <c r="Q111">
        <v>10</v>
      </c>
    </row>
    <row r="112" spans="1:17" x14ac:dyDescent="0.3">
      <c r="B112" t="s">
        <v>108</v>
      </c>
      <c r="E112">
        <v>11298430.416818</v>
      </c>
      <c r="F112">
        <v>11298430.42</v>
      </c>
      <c r="G112">
        <v>11298430.42</v>
      </c>
      <c r="H112">
        <v>0.39917799999999998</v>
      </c>
      <c r="I112">
        <v>10</v>
      </c>
      <c r="J112">
        <v>11298430.42</v>
      </c>
      <c r="K112">
        <v>11298430.42</v>
      </c>
      <c r="L112">
        <v>1.1089119999999999</v>
      </c>
      <c r="M112">
        <v>10</v>
      </c>
      <c r="N112">
        <v>11298430.42</v>
      </c>
      <c r="O112">
        <v>11298430.42</v>
      </c>
      <c r="P112">
        <v>37.642429</v>
      </c>
      <c r="Q112">
        <v>10</v>
      </c>
    </row>
    <row r="113" spans="1:17" x14ac:dyDescent="0.3">
      <c r="B113" t="s">
        <v>109</v>
      </c>
      <c r="E113">
        <v>11305676.848937999</v>
      </c>
      <c r="F113">
        <v>11305676.85</v>
      </c>
      <c r="G113">
        <v>11305676.85</v>
      </c>
      <c r="H113">
        <v>1.8074410000000001</v>
      </c>
      <c r="I113">
        <v>10</v>
      </c>
      <c r="J113">
        <v>11305676.85</v>
      </c>
      <c r="K113">
        <v>11305676.85</v>
      </c>
      <c r="L113">
        <v>2.8445610000000001</v>
      </c>
      <c r="M113">
        <v>10</v>
      </c>
      <c r="N113">
        <v>11305676.85</v>
      </c>
      <c r="O113">
        <v>11305676.85</v>
      </c>
      <c r="P113">
        <v>11.201048</v>
      </c>
      <c r="Q113">
        <v>10</v>
      </c>
    </row>
    <row r="114" spans="1:17" x14ac:dyDescent="0.3">
      <c r="B114" t="s">
        <v>110</v>
      </c>
      <c r="E114">
        <v>11282910.880689999</v>
      </c>
      <c r="F114">
        <v>11282910.880000001</v>
      </c>
      <c r="G114">
        <v>11282910.880000001</v>
      </c>
      <c r="H114">
        <v>22.269618000000001</v>
      </c>
      <c r="I114">
        <v>10</v>
      </c>
      <c r="J114">
        <v>11282910.880000001</v>
      </c>
      <c r="K114">
        <v>11282910.880000001</v>
      </c>
      <c r="L114">
        <v>40.237954999999999</v>
      </c>
      <c r="M114">
        <v>10</v>
      </c>
      <c r="N114">
        <v>11282910.880000001</v>
      </c>
      <c r="O114">
        <v>11282910.68</v>
      </c>
      <c r="P114">
        <v>127.750302</v>
      </c>
      <c r="Q114">
        <v>8</v>
      </c>
    </row>
    <row r="115" spans="1:17" x14ac:dyDescent="0.3">
      <c r="B115" t="s">
        <v>111</v>
      </c>
      <c r="E115">
        <v>11297339.482894</v>
      </c>
      <c r="F115">
        <v>11297339.48</v>
      </c>
      <c r="G115">
        <v>11297339.48</v>
      </c>
      <c r="H115">
        <v>15.891793</v>
      </c>
      <c r="I115">
        <v>10</v>
      </c>
      <c r="J115">
        <v>11297339.48</v>
      </c>
      <c r="K115">
        <v>11297339.48</v>
      </c>
      <c r="L115">
        <v>17.819711999999999</v>
      </c>
      <c r="M115">
        <v>10</v>
      </c>
      <c r="N115">
        <v>11297339.48</v>
      </c>
      <c r="O115">
        <v>11297339.48</v>
      </c>
      <c r="P115">
        <v>91.642700000000005</v>
      </c>
      <c r="Q115">
        <v>10</v>
      </c>
    </row>
    <row r="116" spans="1:17" x14ac:dyDescent="0.3">
      <c r="B116" t="s">
        <v>112</v>
      </c>
      <c r="E116">
        <v>11298064.583673</v>
      </c>
      <c r="F116">
        <v>11298064.58</v>
      </c>
      <c r="G116">
        <v>11298064.58</v>
      </c>
      <c r="H116">
        <v>3.5821239999999999</v>
      </c>
      <c r="I116">
        <v>10</v>
      </c>
      <c r="J116">
        <v>11298064.58</v>
      </c>
      <c r="K116">
        <v>11298064.58</v>
      </c>
      <c r="L116">
        <v>5.4821739999999997</v>
      </c>
      <c r="M116">
        <v>10</v>
      </c>
      <c r="N116">
        <v>11298064.58</v>
      </c>
      <c r="O116">
        <v>11298064.58</v>
      </c>
      <c r="P116">
        <v>31.579029999999999</v>
      </c>
      <c r="Q116">
        <v>10</v>
      </c>
    </row>
    <row r="117" spans="1:17" x14ac:dyDescent="0.3">
      <c r="B117" t="s">
        <v>113</v>
      </c>
      <c r="E117">
        <v>11288901.171914</v>
      </c>
      <c r="F117">
        <v>11288901.17</v>
      </c>
      <c r="G117">
        <v>11288901.17</v>
      </c>
      <c r="H117">
        <v>2.6725590000000001</v>
      </c>
      <c r="I117">
        <v>10</v>
      </c>
      <c r="J117">
        <v>11288901.17</v>
      </c>
      <c r="K117">
        <v>11288901.17</v>
      </c>
      <c r="L117">
        <v>4.1334049999999998</v>
      </c>
      <c r="M117">
        <v>10</v>
      </c>
      <c r="N117">
        <v>11288901.17</v>
      </c>
      <c r="O117">
        <v>11288901.17</v>
      </c>
      <c r="P117">
        <v>16.405525999999998</v>
      </c>
      <c r="Q117">
        <v>10</v>
      </c>
    </row>
    <row r="118" spans="1:17" x14ac:dyDescent="0.3">
      <c r="B118" t="s">
        <v>114</v>
      </c>
      <c r="E118">
        <v>11283539.257941</v>
      </c>
      <c r="F118">
        <v>11283539.26</v>
      </c>
      <c r="G118">
        <v>11283539.26</v>
      </c>
      <c r="H118">
        <v>19.943448</v>
      </c>
      <c r="I118">
        <v>10</v>
      </c>
      <c r="J118">
        <v>11283539.26</v>
      </c>
      <c r="K118">
        <v>11283539.26</v>
      </c>
      <c r="L118">
        <v>37.711725000000001</v>
      </c>
      <c r="M118">
        <v>10</v>
      </c>
      <c r="N118">
        <v>11283539.26</v>
      </c>
      <c r="O118">
        <v>11283539.26</v>
      </c>
      <c r="P118">
        <v>214.58274599999999</v>
      </c>
      <c r="Q118">
        <v>10</v>
      </c>
    </row>
    <row r="119" spans="1:17" x14ac:dyDescent="0.3">
      <c r="B119" t="s">
        <v>115</v>
      </c>
      <c r="E119">
        <v>11298038.129276</v>
      </c>
      <c r="F119">
        <v>11298038.130000001</v>
      </c>
      <c r="G119">
        <v>11298038.130000001</v>
      </c>
      <c r="H119">
        <v>25.898302999999999</v>
      </c>
      <c r="I119">
        <v>10</v>
      </c>
      <c r="J119">
        <v>11298038.130000001</v>
      </c>
      <c r="K119">
        <v>11298038.130000001</v>
      </c>
      <c r="L119">
        <v>48.014220000000002</v>
      </c>
      <c r="M119">
        <v>10</v>
      </c>
      <c r="N119">
        <v>11298038.130000001</v>
      </c>
      <c r="O119">
        <v>11297891.51</v>
      </c>
      <c r="P119">
        <v>195.992118</v>
      </c>
      <c r="Q119">
        <v>7</v>
      </c>
    </row>
    <row r="120" spans="1:17" x14ac:dyDescent="0.3">
      <c r="B120" t="s">
        <v>116</v>
      </c>
      <c r="E120">
        <v>11290482.634834001</v>
      </c>
      <c r="F120">
        <v>11290482.630000001</v>
      </c>
      <c r="G120">
        <v>11290482.630000001</v>
      </c>
      <c r="H120">
        <v>3.3153450000000002</v>
      </c>
      <c r="I120">
        <v>10</v>
      </c>
      <c r="J120">
        <v>11290482.630000001</v>
      </c>
      <c r="K120">
        <v>11290482.630000001</v>
      </c>
      <c r="L120">
        <v>20.932704999999999</v>
      </c>
      <c r="M120">
        <v>10</v>
      </c>
      <c r="N120">
        <v>11290482.630000001</v>
      </c>
      <c r="O120">
        <v>11290482.630000001</v>
      </c>
      <c r="P120">
        <v>161.319818</v>
      </c>
      <c r="Q120">
        <v>10</v>
      </c>
    </row>
    <row r="121" spans="1:17" x14ac:dyDescent="0.3">
      <c r="B121" t="s">
        <v>117</v>
      </c>
      <c r="E121">
        <v>11307424.090151001</v>
      </c>
      <c r="F121">
        <v>11307424.09</v>
      </c>
      <c r="G121">
        <v>11307424.09</v>
      </c>
      <c r="H121">
        <v>0.75043000000000004</v>
      </c>
      <c r="I121">
        <v>10</v>
      </c>
      <c r="J121">
        <v>11307424.09</v>
      </c>
      <c r="K121">
        <v>11307424.09</v>
      </c>
      <c r="L121">
        <v>0.85547300000000004</v>
      </c>
      <c r="M121">
        <v>10</v>
      </c>
      <c r="N121">
        <v>11307424.09</v>
      </c>
      <c r="O121">
        <v>11307424.09</v>
      </c>
      <c r="P121">
        <v>3.585537</v>
      </c>
      <c r="Q121">
        <v>10</v>
      </c>
    </row>
    <row r="122" spans="1:17" x14ac:dyDescent="0.3">
      <c r="B122" t="s">
        <v>118</v>
      </c>
      <c r="E122">
        <v>11302892.010384001</v>
      </c>
      <c r="F122">
        <v>11302892.01</v>
      </c>
      <c r="G122">
        <v>11302892.01</v>
      </c>
      <c r="H122">
        <v>6.8012110000000003</v>
      </c>
      <c r="I122">
        <v>10</v>
      </c>
      <c r="J122">
        <v>11302892.01</v>
      </c>
      <c r="K122">
        <v>11302892.01</v>
      </c>
      <c r="L122">
        <v>7.3341329999999996</v>
      </c>
      <c r="M122">
        <v>10</v>
      </c>
      <c r="N122">
        <v>11302892.01</v>
      </c>
      <c r="O122">
        <v>11302892.01</v>
      </c>
      <c r="P122">
        <v>27.915839999999999</v>
      </c>
      <c r="Q122">
        <v>10</v>
      </c>
    </row>
    <row r="123" spans="1:17" x14ac:dyDescent="0.3">
      <c r="B123" t="s">
        <v>119</v>
      </c>
      <c r="E123">
        <v>11295773.7621</v>
      </c>
      <c r="F123">
        <v>11295773.76</v>
      </c>
      <c r="G123">
        <v>11295773.76</v>
      </c>
      <c r="H123">
        <v>8.156288</v>
      </c>
      <c r="I123">
        <v>10</v>
      </c>
      <c r="J123">
        <v>11295773.76</v>
      </c>
      <c r="K123">
        <v>11295773.76</v>
      </c>
      <c r="L123">
        <v>8.3905410000000007</v>
      </c>
      <c r="M123">
        <v>10</v>
      </c>
      <c r="N123">
        <v>11295773.76</v>
      </c>
      <c r="O123">
        <v>11295773.76</v>
      </c>
      <c r="P123">
        <v>44.444946000000002</v>
      </c>
      <c r="Q123">
        <v>10</v>
      </c>
    </row>
    <row r="124" spans="1:17" x14ac:dyDescent="0.3">
      <c r="B124" t="s">
        <v>120</v>
      </c>
      <c r="E124">
        <v>11296535.520041</v>
      </c>
      <c r="F124">
        <v>11296535.52</v>
      </c>
      <c r="G124">
        <v>11296535.52</v>
      </c>
      <c r="H124">
        <v>6.3444000000000003</v>
      </c>
      <c r="I124">
        <v>10</v>
      </c>
      <c r="J124">
        <v>11296535.52</v>
      </c>
      <c r="K124">
        <v>11296535.52</v>
      </c>
      <c r="L124">
        <v>17.720949999999998</v>
      </c>
      <c r="M124">
        <v>10</v>
      </c>
      <c r="N124">
        <v>11296535.52</v>
      </c>
      <c r="O124">
        <v>11296535.52</v>
      </c>
      <c r="P124">
        <v>39.559941999999999</v>
      </c>
      <c r="Q124">
        <v>10</v>
      </c>
    </row>
    <row r="125" spans="1:17" x14ac:dyDescent="0.3">
      <c r="B125" t="s">
        <v>121</v>
      </c>
      <c r="E125">
        <v>11295054.202273</v>
      </c>
      <c r="F125">
        <v>11295054.199999999</v>
      </c>
      <c r="G125">
        <v>11295054.199999999</v>
      </c>
      <c r="H125">
        <v>3.3104939999999998</v>
      </c>
      <c r="I125">
        <v>10</v>
      </c>
      <c r="J125">
        <v>11295054.199999999</v>
      </c>
      <c r="K125">
        <v>11295054.199999999</v>
      </c>
      <c r="L125">
        <v>5.6623260000000002</v>
      </c>
      <c r="M125">
        <v>10</v>
      </c>
      <c r="N125">
        <v>11295054.199999999</v>
      </c>
      <c r="O125">
        <v>11295054.199999999</v>
      </c>
      <c r="P125">
        <v>42.206699</v>
      </c>
      <c r="Q125">
        <v>10</v>
      </c>
    </row>
    <row r="126" spans="1:17" x14ac:dyDescent="0.3">
      <c r="B126" t="s">
        <v>122</v>
      </c>
      <c r="E126">
        <v>11309162.635267001</v>
      </c>
      <c r="F126">
        <v>11309162.640000001</v>
      </c>
      <c r="G126">
        <v>11309162.640000001</v>
      </c>
      <c r="H126">
        <v>2.7355809999999998</v>
      </c>
      <c r="I126">
        <v>10</v>
      </c>
      <c r="J126">
        <v>11309162.640000001</v>
      </c>
      <c r="K126">
        <v>11309162.640000001</v>
      </c>
      <c r="L126">
        <v>2.0396040000000002</v>
      </c>
      <c r="M126">
        <v>10</v>
      </c>
      <c r="N126">
        <v>11309162.640000001</v>
      </c>
      <c r="O126">
        <v>11309162.640000001</v>
      </c>
      <c r="P126">
        <v>25.616596999999999</v>
      </c>
      <c r="Q126">
        <v>10</v>
      </c>
    </row>
    <row r="127" spans="1:17" x14ac:dyDescent="0.3">
      <c r="A127" t="s">
        <v>356</v>
      </c>
      <c r="H127" s="5">
        <f>AVERAGE(H107:H126)</f>
        <v>7.5091021499999995</v>
      </c>
      <c r="I127" s="1">
        <f>SUM(I107:I126)</f>
        <v>200</v>
      </c>
      <c r="L127" s="5">
        <f>AVERAGE(L107:L126)</f>
        <v>13.2497749</v>
      </c>
      <c r="M127" s="1">
        <f>SUM(M107:M126)</f>
        <v>200</v>
      </c>
      <c r="O127" s="2">
        <f t="array" ref="O127">AVERAGE((E107:E126-O107:O126)/E107:E126)</f>
        <v>6.4980396211738202E-7</v>
      </c>
      <c r="Q127" s="1">
        <f>SUM(Q107:Q126)</f>
        <v>195</v>
      </c>
    </row>
    <row r="128" spans="1:17" x14ac:dyDescent="0.3">
      <c r="A128" t="s">
        <v>363</v>
      </c>
      <c r="B128" t="s">
        <v>164</v>
      </c>
      <c r="E128">
        <v>2556303.3172800001</v>
      </c>
      <c r="F128">
        <v>2556303.3169999998</v>
      </c>
      <c r="G128">
        <v>2556303.3169999998</v>
      </c>
      <c r="H128">
        <v>0.11668199999999999</v>
      </c>
      <c r="I128">
        <v>10</v>
      </c>
      <c r="J128">
        <v>2556303.3169999998</v>
      </c>
      <c r="K128">
        <v>2556303.3169999998</v>
      </c>
      <c r="L128">
        <v>0.11512699999999999</v>
      </c>
      <c r="M128">
        <v>10</v>
      </c>
      <c r="N128">
        <v>2556303.3169999998</v>
      </c>
      <c r="O128">
        <v>2556303.3169999998</v>
      </c>
      <c r="P128">
        <v>0.113618</v>
      </c>
      <c r="Q128">
        <v>10</v>
      </c>
    </row>
    <row r="129" spans="2:17" x14ac:dyDescent="0.3">
      <c r="B129" t="s">
        <v>165</v>
      </c>
      <c r="E129">
        <v>9494735.3414900005</v>
      </c>
      <c r="F129">
        <v>9494735.341</v>
      </c>
      <c r="G129">
        <v>9494735.341</v>
      </c>
      <c r="H129">
        <v>9.0506000000000003E-2</v>
      </c>
      <c r="I129">
        <v>10</v>
      </c>
      <c r="J129">
        <v>9494735.341</v>
      </c>
      <c r="K129">
        <v>9494735.341</v>
      </c>
      <c r="L129">
        <v>9.5668000000000003E-2</v>
      </c>
      <c r="M129">
        <v>10</v>
      </c>
      <c r="N129">
        <v>9494735.341</v>
      </c>
      <c r="O129">
        <v>9494735.341</v>
      </c>
      <c r="P129">
        <v>8.8609999999999994E-2</v>
      </c>
      <c r="Q129">
        <v>10</v>
      </c>
    </row>
    <row r="130" spans="2:17" x14ac:dyDescent="0.3">
      <c r="B130" t="s">
        <v>166</v>
      </c>
      <c r="E130">
        <v>15187740.87438</v>
      </c>
      <c r="F130">
        <v>15187740.869999999</v>
      </c>
      <c r="G130">
        <v>15187740.869999999</v>
      </c>
      <c r="H130">
        <v>0.101618</v>
      </c>
      <c r="I130">
        <v>10</v>
      </c>
      <c r="J130">
        <v>15187740.869999999</v>
      </c>
      <c r="K130">
        <v>15187740.869999999</v>
      </c>
      <c r="L130">
        <v>0.101169</v>
      </c>
      <c r="M130">
        <v>10</v>
      </c>
      <c r="N130">
        <v>15187740.869999999</v>
      </c>
      <c r="O130">
        <v>15187740.869999999</v>
      </c>
      <c r="P130">
        <v>0.101217</v>
      </c>
      <c r="Q130">
        <v>10</v>
      </c>
    </row>
    <row r="131" spans="2:17" x14ac:dyDescent="0.3">
      <c r="B131" t="s">
        <v>167</v>
      </c>
      <c r="E131">
        <v>19725322.192839999</v>
      </c>
      <c r="F131">
        <v>19725322.190000001</v>
      </c>
      <c r="G131">
        <v>19725322.190000001</v>
      </c>
      <c r="H131">
        <v>9.7961000000000006E-2</v>
      </c>
      <c r="I131">
        <v>10</v>
      </c>
      <c r="J131">
        <v>19725322.190000001</v>
      </c>
      <c r="K131">
        <v>19725322.190000001</v>
      </c>
      <c r="L131">
        <v>9.8077999999999999E-2</v>
      </c>
      <c r="M131">
        <v>10</v>
      </c>
      <c r="N131">
        <v>19725322.190000001</v>
      </c>
      <c r="O131">
        <v>19725322.190000001</v>
      </c>
      <c r="P131">
        <v>9.6756999999999996E-2</v>
      </c>
      <c r="Q131">
        <v>10</v>
      </c>
    </row>
    <row r="132" spans="2:17" x14ac:dyDescent="0.3">
      <c r="B132" t="s">
        <v>168</v>
      </c>
      <c r="E132">
        <v>23805405.245379999</v>
      </c>
      <c r="F132">
        <v>23805405.25</v>
      </c>
      <c r="G132">
        <v>23805405.25</v>
      </c>
      <c r="H132">
        <v>9.6198000000000006E-2</v>
      </c>
      <c r="I132">
        <v>10</v>
      </c>
      <c r="J132">
        <v>23805405.25</v>
      </c>
      <c r="K132">
        <v>23805405.25</v>
      </c>
      <c r="L132">
        <v>0.101644</v>
      </c>
      <c r="M132">
        <v>10</v>
      </c>
      <c r="N132">
        <v>23805405.25</v>
      </c>
      <c r="O132">
        <v>23805405.25</v>
      </c>
      <c r="P132">
        <v>9.4146999999999995E-2</v>
      </c>
      <c r="Q132">
        <v>10</v>
      </c>
    </row>
    <row r="133" spans="2:17" x14ac:dyDescent="0.3">
      <c r="B133" t="s">
        <v>169</v>
      </c>
      <c r="E133">
        <v>2598096.7581699998</v>
      </c>
      <c r="F133">
        <v>2598096.7579999999</v>
      </c>
      <c r="G133">
        <v>2598096.7579999999</v>
      </c>
      <c r="H133">
        <v>0.273783</v>
      </c>
      <c r="I133">
        <v>10</v>
      </c>
      <c r="J133">
        <v>2598096.7579999999</v>
      </c>
      <c r="K133">
        <v>2598096.7579999999</v>
      </c>
      <c r="L133">
        <v>0.63930900000000002</v>
      </c>
      <c r="M133">
        <v>10</v>
      </c>
      <c r="N133">
        <v>2598096.7579999999</v>
      </c>
      <c r="O133">
        <v>2598096.7579999999</v>
      </c>
      <c r="P133">
        <v>8.5308650000000004</v>
      </c>
      <c r="Q133">
        <v>10</v>
      </c>
    </row>
    <row r="134" spans="2:17" x14ac:dyDescent="0.3">
      <c r="B134" t="s">
        <v>170</v>
      </c>
      <c r="E134">
        <v>10099263.94359</v>
      </c>
      <c r="F134">
        <v>10099263.939999999</v>
      </c>
      <c r="G134">
        <v>10099263.939999999</v>
      </c>
      <c r="H134">
        <v>0.171073</v>
      </c>
      <c r="I134">
        <v>10</v>
      </c>
      <c r="J134">
        <v>10099263.939999999</v>
      </c>
      <c r="K134">
        <v>10099263.939999999</v>
      </c>
      <c r="L134">
        <v>0.174205</v>
      </c>
      <c r="M134">
        <v>10</v>
      </c>
      <c r="N134">
        <v>10099263.939999999</v>
      </c>
      <c r="O134">
        <v>10099263.939999999</v>
      </c>
      <c r="P134">
        <v>0.16353400000000001</v>
      </c>
      <c r="Q134">
        <v>10</v>
      </c>
    </row>
    <row r="135" spans="2:17" x14ac:dyDescent="0.3">
      <c r="B135" t="s">
        <v>171</v>
      </c>
      <c r="E135">
        <v>21260902.726679999</v>
      </c>
      <c r="F135">
        <v>21260902.73</v>
      </c>
      <c r="G135">
        <v>21260902.73</v>
      </c>
      <c r="H135">
        <v>0.480404</v>
      </c>
      <c r="I135">
        <v>10</v>
      </c>
      <c r="J135">
        <v>21260902.73</v>
      </c>
      <c r="K135">
        <v>21260902.73</v>
      </c>
      <c r="L135">
        <v>0.39074799999999998</v>
      </c>
      <c r="M135">
        <v>10</v>
      </c>
      <c r="N135">
        <v>21260902.73</v>
      </c>
      <c r="O135">
        <v>21260902.73</v>
      </c>
      <c r="P135">
        <v>0.16308600000000001</v>
      </c>
      <c r="Q135">
        <v>10</v>
      </c>
    </row>
    <row r="136" spans="2:17" x14ac:dyDescent="0.3">
      <c r="B136" t="s">
        <v>172</v>
      </c>
      <c r="E136">
        <v>30495483.292709999</v>
      </c>
      <c r="F136">
        <v>30495483.289999999</v>
      </c>
      <c r="G136">
        <v>30495483.289999999</v>
      </c>
      <c r="H136">
        <v>0.16228300000000001</v>
      </c>
      <c r="I136">
        <v>10</v>
      </c>
      <c r="J136">
        <v>30495483.289999999</v>
      </c>
      <c r="K136">
        <v>30495483.289999999</v>
      </c>
      <c r="L136">
        <v>0.16178699999999999</v>
      </c>
      <c r="M136">
        <v>10</v>
      </c>
      <c r="N136">
        <v>30495483.289999999</v>
      </c>
      <c r="O136">
        <v>30495483.289999999</v>
      </c>
      <c r="P136">
        <v>0.155501</v>
      </c>
      <c r="Q136">
        <v>10</v>
      </c>
    </row>
    <row r="137" spans="2:17" x14ac:dyDescent="0.3">
      <c r="B137" t="s">
        <v>173</v>
      </c>
      <c r="E137">
        <v>38032901.950429998</v>
      </c>
      <c r="F137">
        <v>38032901.950000003</v>
      </c>
      <c r="G137">
        <v>38032901.950000003</v>
      </c>
      <c r="H137">
        <v>0.25312200000000001</v>
      </c>
      <c r="I137">
        <v>10</v>
      </c>
      <c r="J137">
        <v>38032901.950000003</v>
      </c>
      <c r="K137">
        <v>38032901.950000003</v>
      </c>
      <c r="L137">
        <v>0.25586300000000001</v>
      </c>
      <c r="M137">
        <v>10</v>
      </c>
      <c r="N137">
        <v>38032901.950000003</v>
      </c>
      <c r="O137">
        <v>38032901.950000003</v>
      </c>
      <c r="P137">
        <v>0.22109000000000001</v>
      </c>
      <c r="Q137">
        <v>10</v>
      </c>
    </row>
    <row r="138" spans="2:17" x14ac:dyDescent="0.3">
      <c r="B138" t="s">
        <v>174</v>
      </c>
      <c r="E138">
        <v>2638633.79544</v>
      </c>
      <c r="F138">
        <v>2638633.7949999999</v>
      </c>
      <c r="G138">
        <v>2638633.7949999999</v>
      </c>
      <c r="H138">
        <v>0.34577200000000002</v>
      </c>
      <c r="I138">
        <v>10</v>
      </c>
      <c r="J138">
        <v>2638633.7949999999</v>
      </c>
      <c r="K138">
        <v>2638633.7949999999</v>
      </c>
      <c r="L138">
        <v>0.32094200000000001</v>
      </c>
      <c r="M138">
        <v>10</v>
      </c>
      <c r="N138">
        <v>2638633.7949999999</v>
      </c>
      <c r="O138">
        <v>2638633.7949999999</v>
      </c>
      <c r="P138">
        <v>1.330918</v>
      </c>
      <c r="Q138">
        <v>10</v>
      </c>
    </row>
    <row r="139" spans="2:17" x14ac:dyDescent="0.3">
      <c r="B139" t="s">
        <v>175</v>
      </c>
      <c r="E139">
        <v>10338565.46539</v>
      </c>
      <c r="F139">
        <v>10338565.470000001</v>
      </c>
      <c r="G139">
        <v>10338565.470000001</v>
      </c>
      <c r="H139">
        <v>0.281947</v>
      </c>
      <c r="I139">
        <v>10</v>
      </c>
      <c r="J139">
        <v>10338565.470000001</v>
      </c>
      <c r="K139">
        <v>10338565.470000001</v>
      </c>
      <c r="L139">
        <v>0.28734300000000002</v>
      </c>
      <c r="M139">
        <v>10</v>
      </c>
      <c r="N139">
        <v>10338565.470000001</v>
      </c>
      <c r="O139">
        <v>10338565.470000001</v>
      </c>
      <c r="P139">
        <v>0.27835500000000002</v>
      </c>
      <c r="Q139">
        <v>10</v>
      </c>
    </row>
    <row r="140" spans="2:17" x14ac:dyDescent="0.3">
      <c r="B140" t="s">
        <v>176</v>
      </c>
      <c r="E140">
        <v>22840863.487539999</v>
      </c>
      <c r="F140">
        <v>22840863.489999998</v>
      </c>
      <c r="G140">
        <v>22840863.489999998</v>
      </c>
      <c r="H140">
        <v>0.33345799999999998</v>
      </c>
      <c r="I140">
        <v>10</v>
      </c>
      <c r="J140">
        <v>22840863.489999998</v>
      </c>
      <c r="K140">
        <v>22840863.489999998</v>
      </c>
      <c r="L140">
        <v>0.327571</v>
      </c>
      <c r="M140">
        <v>10</v>
      </c>
      <c r="N140">
        <v>22840863.489999998</v>
      </c>
      <c r="O140">
        <v>22840863.489999998</v>
      </c>
      <c r="P140">
        <v>0.30497099999999999</v>
      </c>
      <c r="Q140">
        <v>10</v>
      </c>
    </row>
    <row r="141" spans="2:17" x14ac:dyDescent="0.3">
      <c r="B141" t="s">
        <v>177</v>
      </c>
      <c r="E141">
        <v>39458662.298770003</v>
      </c>
      <c r="F141">
        <v>39458662.299999997</v>
      </c>
      <c r="G141">
        <v>39458662.299999997</v>
      </c>
      <c r="H141">
        <v>1.0595429999999999</v>
      </c>
      <c r="I141">
        <v>10</v>
      </c>
      <c r="J141">
        <v>39458662.299999997</v>
      </c>
      <c r="K141">
        <v>39458662.299999997</v>
      </c>
      <c r="L141">
        <v>1.083008</v>
      </c>
      <c r="M141">
        <v>10</v>
      </c>
      <c r="N141">
        <v>39458662.299999997</v>
      </c>
      <c r="O141">
        <v>39458662.299999997</v>
      </c>
      <c r="P141">
        <v>0.49478499999999997</v>
      </c>
      <c r="Q141">
        <v>10</v>
      </c>
    </row>
    <row r="142" spans="2:17" x14ac:dyDescent="0.3">
      <c r="B142" t="s">
        <v>178</v>
      </c>
      <c r="E142">
        <v>55943547.515639998</v>
      </c>
      <c r="F142">
        <v>55943547.520000003</v>
      </c>
      <c r="G142">
        <v>55943547.520000003</v>
      </c>
      <c r="H142">
        <v>0.99148000000000003</v>
      </c>
      <c r="I142">
        <v>10</v>
      </c>
      <c r="J142">
        <v>55943547.520000003</v>
      </c>
      <c r="K142">
        <v>55943547.520000003</v>
      </c>
      <c r="L142">
        <v>0.99635200000000002</v>
      </c>
      <c r="M142">
        <v>10</v>
      </c>
      <c r="N142">
        <v>55943547.520000003</v>
      </c>
      <c r="O142">
        <v>55943547.520000003</v>
      </c>
      <c r="P142">
        <v>0.68358300000000005</v>
      </c>
      <c r="Q142">
        <v>10</v>
      </c>
    </row>
    <row r="143" spans="2:17" x14ac:dyDescent="0.3">
      <c r="B143" t="s">
        <v>179</v>
      </c>
      <c r="E143">
        <v>2640537.36674</v>
      </c>
      <c r="F143">
        <v>2640537.3670000001</v>
      </c>
      <c r="G143">
        <v>2640537.3670000001</v>
      </c>
      <c r="H143">
        <v>0.33890500000000001</v>
      </c>
      <c r="I143">
        <v>10</v>
      </c>
      <c r="J143">
        <v>2640537.3670000001</v>
      </c>
      <c r="K143">
        <v>2640537.3670000001</v>
      </c>
      <c r="L143">
        <v>0.33407799999999999</v>
      </c>
      <c r="M143">
        <v>10</v>
      </c>
      <c r="N143">
        <v>2640537.3670000001</v>
      </c>
      <c r="O143">
        <v>2640537.3670000001</v>
      </c>
      <c r="P143">
        <v>0.36018800000000001</v>
      </c>
      <c r="Q143">
        <v>10</v>
      </c>
    </row>
    <row r="144" spans="2:17" x14ac:dyDescent="0.3">
      <c r="B144" t="s">
        <v>180</v>
      </c>
      <c r="E144">
        <v>10399062.54644</v>
      </c>
      <c r="F144">
        <v>10399062.550000001</v>
      </c>
      <c r="G144">
        <v>10399062.550000001</v>
      </c>
      <c r="H144">
        <v>0.36290800000000001</v>
      </c>
      <c r="I144">
        <v>10</v>
      </c>
      <c r="J144">
        <v>10399062.550000001</v>
      </c>
      <c r="K144">
        <v>10399062.550000001</v>
      </c>
      <c r="L144">
        <v>0.35539300000000001</v>
      </c>
      <c r="M144">
        <v>10</v>
      </c>
      <c r="N144">
        <v>10399062.550000001</v>
      </c>
      <c r="O144">
        <v>10399062.550000001</v>
      </c>
      <c r="P144">
        <v>0.38720300000000002</v>
      </c>
      <c r="Q144">
        <v>10</v>
      </c>
    </row>
    <row r="145" spans="1:17" x14ac:dyDescent="0.3">
      <c r="B145" t="s">
        <v>181</v>
      </c>
      <c r="E145">
        <v>23074932.414009999</v>
      </c>
      <c r="F145">
        <v>23074932.41</v>
      </c>
      <c r="G145">
        <v>23074932.41</v>
      </c>
      <c r="H145">
        <v>0.40045999999999998</v>
      </c>
      <c r="I145">
        <v>10</v>
      </c>
      <c r="J145">
        <v>23074932.41</v>
      </c>
      <c r="K145">
        <v>23074932.41</v>
      </c>
      <c r="L145">
        <v>0.41277900000000001</v>
      </c>
      <c r="M145">
        <v>10</v>
      </c>
      <c r="N145">
        <v>23074932.41</v>
      </c>
      <c r="O145">
        <v>23074932.41</v>
      </c>
      <c r="P145">
        <v>0.47433500000000001</v>
      </c>
      <c r="Q145">
        <v>10</v>
      </c>
    </row>
    <row r="146" spans="1:17" x14ac:dyDescent="0.3">
      <c r="B146" t="s">
        <v>182</v>
      </c>
      <c r="E146">
        <v>40469681.932109997</v>
      </c>
      <c r="F146">
        <v>40469681.93</v>
      </c>
      <c r="G146">
        <v>40469681.93</v>
      </c>
      <c r="H146">
        <v>0.41119600000000001</v>
      </c>
      <c r="I146">
        <v>10</v>
      </c>
      <c r="J146">
        <v>40469681.93</v>
      </c>
      <c r="K146">
        <v>40469681.93</v>
      </c>
      <c r="L146">
        <v>0.40452700000000003</v>
      </c>
      <c r="M146">
        <v>10</v>
      </c>
      <c r="N146">
        <v>40469681.93</v>
      </c>
      <c r="O146">
        <v>40469681.93</v>
      </c>
      <c r="P146">
        <v>0.46728500000000001</v>
      </c>
      <c r="Q146">
        <v>10</v>
      </c>
    </row>
    <row r="147" spans="1:17" x14ac:dyDescent="0.3">
      <c r="B147" t="s">
        <v>183</v>
      </c>
      <c r="E147">
        <v>62332519.393469997</v>
      </c>
      <c r="F147">
        <v>62332519.390000001</v>
      </c>
      <c r="G147">
        <v>62332519.390000001</v>
      </c>
      <c r="H147">
        <v>0.398308</v>
      </c>
      <c r="I147">
        <v>10</v>
      </c>
      <c r="J147">
        <v>62332519.390000001</v>
      </c>
      <c r="K147">
        <v>62332519.390000001</v>
      </c>
      <c r="L147">
        <v>0.37114000000000003</v>
      </c>
      <c r="M147">
        <v>10</v>
      </c>
      <c r="N147">
        <v>62332519.390000001</v>
      </c>
      <c r="O147">
        <v>62332519.390000001</v>
      </c>
      <c r="P147">
        <v>0.44232500000000002</v>
      </c>
      <c r="Q147">
        <v>10</v>
      </c>
    </row>
    <row r="148" spans="1:17" x14ac:dyDescent="0.3">
      <c r="A148" t="s">
        <v>356</v>
      </c>
      <c r="H148" s="5">
        <f>AVERAGE(H128:H147)</f>
        <v>0.33838035</v>
      </c>
      <c r="I148" s="1">
        <f>SUM(I128:I147)</f>
        <v>200</v>
      </c>
      <c r="L148" s="5">
        <f>AVERAGE(L128:L147)</f>
        <v>0.35133654999999997</v>
      </c>
      <c r="M148" s="1">
        <f>SUM(M128:M147)</f>
        <v>200</v>
      </c>
      <c r="P148" s="5">
        <f>AVERAGE(P128:P147)</f>
        <v>0.74761865000000005</v>
      </c>
      <c r="Q148" s="1">
        <f>SUM(Q128:Q147)</f>
        <v>200</v>
      </c>
    </row>
    <row r="149" spans="1:17" x14ac:dyDescent="0.3">
      <c r="A149" t="s">
        <v>364</v>
      </c>
      <c r="B149" t="s">
        <v>123</v>
      </c>
      <c r="E149">
        <v>24926344</v>
      </c>
      <c r="F149">
        <v>24926344</v>
      </c>
      <c r="G149">
        <v>24926344</v>
      </c>
      <c r="H149">
        <v>68.173855000000003</v>
      </c>
      <c r="I149">
        <v>10</v>
      </c>
      <c r="J149">
        <v>24926344</v>
      </c>
      <c r="K149">
        <v>24926344</v>
      </c>
      <c r="L149">
        <v>138.12725399999999</v>
      </c>
      <c r="M149">
        <v>10</v>
      </c>
      <c r="N149">
        <v>24926344</v>
      </c>
      <c r="O149">
        <v>24924478.399999999</v>
      </c>
      <c r="P149">
        <v>269.60349000000002</v>
      </c>
      <c r="Q149">
        <v>3</v>
      </c>
    </row>
    <row r="150" spans="1:17" x14ac:dyDescent="0.3">
      <c r="B150" t="s">
        <v>124</v>
      </c>
      <c r="E150">
        <v>24912546</v>
      </c>
      <c r="F150">
        <v>24912546</v>
      </c>
      <c r="G150">
        <v>24912533.600000001</v>
      </c>
      <c r="H150">
        <v>238.186879</v>
      </c>
      <c r="I150">
        <v>9</v>
      </c>
      <c r="J150">
        <v>24912546</v>
      </c>
      <c r="K150">
        <v>24911864.199999999</v>
      </c>
      <c r="L150">
        <v>399.86193900000001</v>
      </c>
      <c r="M150">
        <v>7</v>
      </c>
      <c r="N150">
        <v>24912546</v>
      </c>
      <c r="O150">
        <v>24908601.899999999</v>
      </c>
      <c r="P150">
        <v>117.040909</v>
      </c>
      <c r="Q150">
        <v>1</v>
      </c>
    </row>
    <row r="151" spans="1:17" x14ac:dyDescent="0.3">
      <c r="B151" t="s">
        <v>125</v>
      </c>
      <c r="E151">
        <v>24905218</v>
      </c>
      <c r="F151">
        <v>24905218</v>
      </c>
      <c r="G151">
        <v>24905218</v>
      </c>
      <c r="H151">
        <v>111.067136</v>
      </c>
      <c r="I151">
        <v>10</v>
      </c>
      <c r="J151">
        <v>24905218</v>
      </c>
      <c r="K151">
        <v>24905218</v>
      </c>
      <c r="L151">
        <v>113.12766499999999</v>
      </c>
      <c r="M151">
        <v>10</v>
      </c>
      <c r="N151">
        <v>24905218</v>
      </c>
      <c r="O151">
        <v>24900846.800000001</v>
      </c>
      <c r="P151">
        <v>226.07449800000001</v>
      </c>
      <c r="Q151">
        <v>5</v>
      </c>
    </row>
    <row r="152" spans="1:17" x14ac:dyDescent="0.3">
      <c r="B152" t="s">
        <v>126</v>
      </c>
      <c r="E152">
        <v>24909710</v>
      </c>
      <c r="F152">
        <v>24909710</v>
      </c>
      <c r="G152">
        <v>24909710</v>
      </c>
      <c r="H152">
        <v>41.184002999999997</v>
      </c>
      <c r="I152">
        <v>10</v>
      </c>
      <c r="J152">
        <v>24909710</v>
      </c>
      <c r="K152">
        <v>24909710</v>
      </c>
      <c r="L152">
        <v>117.274652</v>
      </c>
      <c r="M152">
        <v>10</v>
      </c>
      <c r="N152">
        <v>24909710</v>
      </c>
      <c r="O152">
        <v>24908203.300000001</v>
      </c>
      <c r="P152">
        <v>349.15713699999998</v>
      </c>
      <c r="Q152">
        <v>6</v>
      </c>
    </row>
    <row r="153" spans="1:17" x14ac:dyDescent="0.3">
      <c r="B153" t="s">
        <v>127</v>
      </c>
      <c r="E153">
        <v>24899703</v>
      </c>
      <c r="F153">
        <v>24895704</v>
      </c>
      <c r="G153">
        <v>24895704</v>
      </c>
      <c r="H153" t="s">
        <v>128</v>
      </c>
      <c r="I153">
        <v>0</v>
      </c>
      <c r="J153">
        <v>24895704</v>
      </c>
      <c r="K153">
        <v>24895704</v>
      </c>
      <c r="L153" t="s">
        <v>128</v>
      </c>
      <c r="M153">
        <v>0</v>
      </c>
      <c r="N153">
        <v>24895704</v>
      </c>
      <c r="O153">
        <v>24895449.899999999</v>
      </c>
      <c r="P153" t="s">
        <v>128</v>
      </c>
      <c r="Q153">
        <v>0</v>
      </c>
    </row>
    <row r="154" spans="1:17" x14ac:dyDescent="0.3">
      <c r="B154" t="s">
        <v>129</v>
      </c>
      <c r="E154">
        <v>43465087</v>
      </c>
      <c r="F154">
        <v>43444948</v>
      </c>
      <c r="G154">
        <v>43444948</v>
      </c>
      <c r="H154" t="s">
        <v>128</v>
      </c>
      <c r="I154">
        <v>0</v>
      </c>
      <c r="J154">
        <v>43444948</v>
      </c>
      <c r="K154">
        <v>43444948</v>
      </c>
      <c r="L154" t="s">
        <v>128</v>
      </c>
      <c r="M154">
        <v>0</v>
      </c>
      <c r="N154">
        <v>43444948</v>
      </c>
      <c r="O154">
        <v>43444138.399999999</v>
      </c>
      <c r="P154" t="s">
        <v>128</v>
      </c>
      <c r="Q154">
        <v>0</v>
      </c>
    </row>
    <row r="155" spans="1:17" x14ac:dyDescent="0.3">
      <c r="B155" t="s">
        <v>130</v>
      </c>
      <c r="E155">
        <v>43477267</v>
      </c>
      <c r="F155">
        <v>43477267</v>
      </c>
      <c r="G155">
        <v>43477267</v>
      </c>
      <c r="H155">
        <v>16.619247999999999</v>
      </c>
      <c r="I155">
        <v>10</v>
      </c>
      <c r="J155">
        <v>43477267</v>
      </c>
      <c r="K155">
        <v>43477267</v>
      </c>
      <c r="L155">
        <v>20.044177000000001</v>
      </c>
      <c r="M155">
        <v>10</v>
      </c>
      <c r="N155">
        <v>43477267</v>
      </c>
      <c r="O155">
        <v>43477267</v>
      </c>
      <c r="P155">
        <v>221.89646500000001</v>
      </c>
      <c r="Q155">
        <v>10</v>
      </c>
    </row>
    <row r="156" spans="1:17" x14ac:dyDescent="0.3">
      <c r="B156" t="s">
        <v>131</v>
      </c>
      <c r="E156">
        <v>43465572</v>
      </c>
      <c r="F156">
        <v>43465572</v>
      </c>
      <c r="G156">
        <v>43465272.299999997</v>
      </c>
      <c r="H156">
        <v>147.20708500000001</v>
      </c>
      <c r="I156">
        <v>9</v>
      </c>
      <c r="J156">
        <v>43465572</v>
      </c>
      <c r="K156">
        <v>43464972.600000001</v>
      </c>
      <c r="L156">
        <v>217.34782799999999</v>
      </c>
      <c r="M156">
        <v>8</v>
      </c>
      <c r="N156">
        <v>43465572</v>
      </c>
      <c r="O156">
        <v>43464278.5</v>
      </c>
      <c r="P156">
        <v>408.130583</v>
      </c>
      <c r="Q156">
        <v>3</v>
      </c>
    </row>
    <row r="157" spans="1:17" x14ac:dyDescent="0.3">
      <c r="B157" t="s">
        <v>132</v>
      </c>
      <c r="E157">
        <v>43448137</v>
      </c>
      <c r="F157">
        <v>43448137</v>
      </c>
      <c r="G157">
        <v>43448042.200000003</v>
      </c>
      <c r="H157">
        <v>48.736719999999998</v>
      </c>
      <c r="I157">
        <v>6</v>
      </c>
      <c r="J157">
        <v>43448137</v>
      </c>
      <c r="K157">
        <v>43448018.5</v>
      </c>
      <c r="L157">
        <v>119.258292</v>
      </c>
      <c r="M157">
        <v>5</v>
      </c>
      <c r="N157">
        <v>43448137</v>
      </c>
      <c r="O157">
        <v>43447971.100000001</v>
      </c>
      <c r="P157">
        <v>110.108638</v>
      </c>
      <c r="Q157">
        <v>3</v>
      </c>
    </row>
    <row r="158" spans="1:17" x14ac:dyDescent="0.3">
      <c r="B158" t="s">
        <v>133</v>
      </c>
      <c r="E158">
        <v>43476251</v>
      </c>
      <c r="F158">
        <v>43465561</v>
      </c>
      <c r="G158">
        <v>43465561</v>
      </c>
      <c r="H158" t="s">
        <v>128</v>
      </c>
      <c r="I158">
        <v>0</v>
      </c>
      <c r="J158">
        <v>43465561</v>
      </c>
      <c r="K158">
        <v>43465561</v>
      </c>
      <c r="L158" t="s">
        <v>128</v>
      </c>
      <c r="M158">
        <v>0</v>
      </c>
      <c r="N158">
        <v>43465561</v>
      </c>
      <c r="O158">
        <v>43465561</v>
      </c>
      <c r="P158" t="s">
        <v>128</v>
      </c>
      <c r="Q158">
        <v>0</v>
      </c>
    </row>
    <row r="159" spans="1:17" x14ac:dyDescent="0.3">
      <c r="B159" t="s">
        <v>134</v>
      </c>
      <c r="E159">
        <v>67021132</v>
      </c>
      <c r="F159">
        <v>67021132</v>
      </c>
      <c r="G159">
        <v>67021132</v>
      </c>
      <c r="H159">
        <v>73.338877999999994</v>
      </c>
      <c r="I159">
        <v>10</v>
      </c>
      <c r="J159">
        <v>67021132</v>
      </c>
      <c r="K159">
        <v>67021132</v>
      </c>
      <c r="L159">
        <v>73.524339999999995</v>
      </c>
      <c r="M159">
        <v>10</v>
      </c>
      <c r="N159">
        <v>67021132</v>
      </c>
      <c r="O159">
        <v>67020771.899999999</v>
      </c>
      <c r="P159">
        <v>252.26254</v>
      </c>
      <c r="Q159">
        <v>7</v>
      </c>
    </row>
    <row r="160" spans="1:17" x14ac:dyDescent="0.3">
      <c r="B160" t="s">
        <v>135</v>
      </c>
      <c r="E160">
        <v>67021888</v>
      </c>
      <c r="F160">
        <v>67014170</v>
      </c>
      <c r="G160">
        <v>67014170</v>
      </c>
      <c r="H160" t="s">
        <v>128</v>
      </c>
      <c r="I160">
        <v>0</v>
      </c>
      <c r="J160">
        <v>67014170</v>
      </c>
      <c r="K160">
        <v>67014170</v>
      </c>
      <c r="L160" t="s">
        <v>128</v>
      </c>
      <c r="M160">
        <v>0</v>
      </c>
      <c r="N160">
        <v>67014170</v>
      </c>
      <c r="O160">
        <v>67013583.799999997</v>
      </c>
      <c r="P160" t="s">
        <v>128</v>
      </c>
      <c r="Q160">
        <v>0</v>
      </c>
    </row>
    <row r="161" spans="1:17" x14ac:dyDescent="0.3">
      <c r="B161" t="s">
        <v>136</v>
      </c>
      <c r="E161">
        <v>67024373</v>
      </c>
      <c r="F161">
        <v>67024373</v>
      </c>
      <c r="G161">
        <v>67024373</v>
      </c>
      <c r="H161">
        <v>19.321562</v>
      </c>
      <c r="I161">
        <v>10</v>
      </c>
      <c r="J161">
        <v>67024373</v>
      </c>
      <c r="K161">
        <v>67024373</v>
      </c>
      <c r="L161">
        <v>50.517105999999998</v>
      </c>
      <c r="M161">
        <v>10</v>
      </c>
      <c r="N161">
        <v>67024373</v>
      </c>
      <c r="O161">
        <v>67024368.100000001</v>
      </c>
      <c r="P161">
        <v>221.85635600000001</v>
      </c>
      <c r="Q161">
        <v>9</v>
      </c>
    </row>
    <row r="162" spans="1:17" x14ac:dyDescent="0.3">
      <c r="B162" t="s">
        <v>137</v>
      </c>
      <c r="E162">
        <v>67030190</v>
      </c>
      <c r="F162">
        <v>67030190</v>
      </c>
      <c r="G162">
        <v>67030190</v>
      </c>
      <c r="H162">
        <v>31.997354999999999</v>
      </c>
      <c r="I162">
        <v>10</v>
      </c>
      <c r="J162">
        <v>67030190</v>
      </c>
      <c r="K162">
        <v>67030190</v>
      </c>
      <c r="L162">
        <v>39.823849000000003</v>
      </c>
      <c r="M162">
        <v>10</v>
      </c>
      <c r="N162">
        <v>67030190</v>
      </c>
      <c r="O162">
        <v>67030190</v>
      </c>
      <c r="P162">
        <v>271.059755</v>
      </c>
      <c r="Q162">
        <v>10</v>
      </c>
    </row>
    <row r="163" spans="1:17" x14ac:dyDescent="0.3">
      <c r="B163" t="s">
        <v>138</v>
      </c>
      <c r="E163">
        <v>67056334</v>
      </c>
      <c r="F163">
        <v>67056334</v>
      </c>
      <c r="G163">
        <v>67056334</v>
      </c>
      <c r="H163">
        <v>74.849000000000004</v>
      </c>
      <c r="I163">
        <v>10</v>
      </c>
      <c r="J163">
        <v>67056334</v>
      </c>
      <c r="K163">
        <v>67056127.700000003</v>
      </c>
      <c r="L163">
        <v>179.79977400000001</v>
      </c>
      <c r="M163">
        <v>9</v>
      </c>
      <c r="N163">
        <v>67056334</v>
      </c>
      <c r="O163">
        <v>67055105</v>
      </c>
      <c r="P163">
        <v>257.62100700000002</v>
      </c>
      <c r="Q163">
        <v>5</v>
      </c>
    </row>
    <row r="164" spans="1:17" x14ac:dyDescent="0.3">
      <c r="B164" t="s">
        <v>139</v>
      </c>
      <c r="E164">
        <v>95638929</v>
      </c>
      <c r="F164">
        <v>95638929</v>
      </c>
      <c r="G164">
        <v>95638929</v>
      </c>
      <c r="H164">
        <v>75.291313000000002</v>
      </c>
      <c r="I164">
        <v>10</v>
      </c>
      <c r="J164">
        <v>95638929</v>
      </c>
      <c r="K164">
        <v>95638809.400000006</v>
      </c>
      <c r="L164">
        <v>84.165518000000006</v>
      </c>
      <c r="M164">
        <v>9</v>
      </c>
      <c r="N164">
        <v>95638929</v>
      </c>
      <c r="O164">
        <v>95638410.5</v>
      </c>
      <c r="P164">
        <v>311.06097999999997</v>
      </c>
      <c r="Q164">
        <v>6</v>
      </c>
    </row>
    <row r="165" spans="1:17" x14ac:dyDescent="0.3">
      <c r="B165" t="s">
        <v>140</v>
      </c>
      <c r="E165">
        <v>95645826</v>
      </c>
      <c r="F165">
        <v>95571113</v>
      </c>
      <c r="G165">
        <v>95571113</v>
      </c>
      <c r="H165" t="s">
        <v>128</v>
      </c>
      <c r="I165">
        <v>0</v>
      </c>
      <c r="J165">
        <v>95571113</v>
      </c>
      <c r="K165">
        <v>95571113</v>
      </c>
      <c r="L165" t="s">
        <v>128</v>
      </c>
      <c r="M165">
        <v>0</v>
      </c>
      <c r="N165">
        <v>95571113</v>
      </c>
      <c r="O165">
        <v>95570364.099999994</v>
      </c>
      <c r="P165" t="s">
        <v>128</v>
      </c>
      <c r="Q165">
        <v>0</v>
      </c>
    </row>
    <row r="166" spans="1:17" x14ac:dyDescent="0.3">
      <c r="B166" t="s">
        <v>141</v>
      </c>
      <c r="E166">
        <v>95629207</v>
      </c>
      <c r="F166">
        <v>95532141</v>
      </c>
      <c r="G166">
        <v>95532141</v>
      </c>
      <c r="H166" t="s">
        <v>128</v>
      </c>
      <c r="I166">
        <v>0</v>
      </c>
      <c r="J166">
        <v>95532141</v>
      </c>
      <c r="K166">
        <v>95532141</v>
      </c>
      <c r="L166" t="s">
        <v>128</v>
      </c>
      <c r="M166">
        <v>0</v>
      </c>
      <c r="N166">
        <v>95532141</v>
      </c>
      <c r="O166">
        <v>95528216.599999994</v>
      </c>
      <c r="P166" t="s">
        <v>128</v>
      </c>
      <c r="Q166">
        <v>0</v>
      </c>
    </row>
    <row r="167" spans="1:17" x14ac:dyDescent="0.3">
      <c r="B167" t="s">
        <v>142</v>
      </c>
      <c r="E167">
        <v>95633549</v>
      </c>
      <c r="F167">
        <v>95599164</v>
      </c>
      <c r="G167">
        <v>95599164</v>
      </c>
      <c r="H167" t="s">
        <v>128</v>
      </c>
      <c r="I167">
        <v>0</v>
      </c>
      <c r="J167">
        <v>95599164</v>
      </c>
      <c r="K167">
        <v>95599164</v>
      </c>
      <c r="L167" t="s">
        <v>128</v>
      </c>
      <c r="M167">
        <v>0</v>
      </c>
      <c r="N167">
        <v>95599164</v>
      </c>
      <c r="O167">
        <v>95598919.900000006</v>
      </c>
      <c r="P167" t="s">
        <v>128</v>
      </c>
      <c r="Q167">
        <v>0</v>
      </c>
    </row>
    <row r="168" spans="1:17" x14ac:dyDescent="0.3">
      <c r="B168" t="s">
        <v>143</v>
      </c>
      <c r="E168">
        <v>95643586</v>
      </c>
      <c r="F168">
        <v>95584482</v>
      </c>
      <c r="G168">
        <v>95584482</v>
      </c>
      <c r="H168" t="s">
        <v>128</v>
      </c>
      <c r="I168">
        <v>0</v>
      </c>
      <c r="J168">
        <v>95584482</v>
      </c>
      <c r="K168">
        <v>95584482</v>
      </c>
      <c r="L168" t="s">
        <v>128</v>
      </c>
      <c r="M168">
        <v>0</v>
      </c>
      <c r="N168">
        <v>95584482</v>
      </c>
      <c r="O168">
        <v>95584482</v>
      </c>
      <c r="P168" t="s">
        <v>128</v>
      </c>
      <c r="Q168">
        <v>0</v>
      </c>
    </row>
    <row r="169" spans="1:17" x14ac:dyDescent="0.3">
      <c r="A169" t="s">
        <v>356</v>
      </c>
      <c r="F169" s="6">
        <f t="array" ref="F169">AVERAGE((E149:E168-F149:F168)/E149:E168)</f>
        <v>1.8793284520406264E-4</v>
      </c>
      <c r="G169" s="7">
        <f t="array" ref="G169">AVERAGE((E149:E168-G149:G168)/E149:E168)</f>
        <v>1.8841158346459948E-4</v>
      </c>
      <c r="I169" s="1">
        <f>SUM(I149:I168)</f>
        <v>114</v>
      </c>
      <c r="J169" s="6">
        <f t="array" ref="J169">AVERAGE((E149:E168-J149:J168)/E149:E168)</f>
        <v>1.8793284520406264E-4</v>
      </c>
      <c r="K169" s="7">
        <f t="array" ref="K169">AVERAGE((E149:E168-K149:K168)/E149:E168)</f>
        <v>1.9034346547936563E-4</v>
      </c>
      <c r="M169" s="1">
        <f>SUM(M149:M168)</f>
        <v>108</v>
      </c>
      <c r="N169" s="6">
        <f t="array" ref="N169">AVERAGE((E149:E168-N149:N168)/E149:E168)</f>
        <v>1.8793284520406264E-4</v>
      </c>
      <c r="O169" s="7">
        <f t="array" ref="O169">AVERAGE((E149:E168-O149:O168)/E149:E168)</f>
        <v>2.1897949090149459E-4</v>
      </c>
      <c r="Q169" s="1">
        <f>SUM(Q149:Q168)</f>
        <v>68</v>
      </c>
    </row>
    <row r="170" spans="1:17" x14ac:dyDescent="0.3">
      <c r="A170" t="s">
        <v>365</v>
      </c>
      <c r="B170" t="s">
        <v>144</v>
      </c>
      <c r="E170">
        <v>1153068</v>
      </c>
      <c r="F170">
        <v>1153068</v>
      </c>
      <c r="G170">
        <v>1153068</v>
      </c>
      <c r="H170">
        <v>12.818695</v>
      </c>
      <c r="I170">
        <v>10</v>
      </c>
      <c r="J170">
        <v>1153068</v>
      </c>
      <c r="K170">
        <v>1153068</v>
      </c>
      <c r="L170">
        <v>10.248288000000001</v>
      </c>
      <c r="M170">
        <v>10</v>
      </c>
      <c r="N170">
        <v>1153068</v>
      </c>
      <c r="O170">
        <v>1153068</v>
      </c>
      <c r="P170">
        <v>110.483503</v>
      </c>
      <c r="Q170">
        <v>10</v>
      </c>
    </row>
    <row r="171" spans="1:17" x14ac:dyDescent="0.3">
      <c r="B171" t="s">
        <v>145</v>
      </c>
      <c r="E171">
        <v>1129310</v>
      </c>
      <c r="F171">
        <v>1129310</v>
      </c>
      <c r="G171">
        <v>1129310</v>
      </c>
      <c r="H171">
        <v>18.588031999999998</v>
      </c>
      <c r="I171">
        <v>10</v>
      </c>
      <c r="J171">
        <v>1129310</v>
      </c>
      <c r="K171">
        <v>1129310</v>
      </c>
      <c r="L171">
        <v>32.593618999999997</v>
      </c>
      <c r="M171">
        <v>10</v>
      </c>
      <c r="N171">
        <v>1129310</v>
      </c>
      <c r="O171">
        <v>1129298.8</v>
      </c>
      <c r="P171">
        <v>181.20408800000001</v>
      </c>
      <c r="Q171">
        <v>9</v>
      </c>
    </row>
    <row r="172" spans="1:17" x14ac:dyDescent="0.3">
      <c r="B172" t="s">
        <v>146</v>
      </c>
      <c r="E172">
        <v>1115538</v>
      </c>
      <c r="F172">
        <v>1115538</v>
      </c>
      <c r="G172">
        <v>1115538</v>
      </c>
      <c r="H172">
        <v>3.9215460000000002</v>
      </c>
      <c r="I172">
        <v>10</v>
      </c>
      <c r="J172">
        <v>1115538</v>
      </c>
      <c r="K172">
        <v>1115538</v>
      </c>
      <c r="L172">
        <v>7.5105399999999998</v>
      </c>
      <c r="M172">
        <v>10</v>
      </c>
      <c r="N172">
        <v>1115538</v>
      </c>
      <c r="O172">
        <v>1115538</v>
      </c>
      <c r="P172">
        <v>66.910160000000005</v>
      </c>
      <c r="Q172">
        <v>10</v>
      </c>
    </row>
    <row r="173" spans="1:17" x14ac:dyDescent="0.3">
      <c r="B173" t="s">
        <v>147</v>
      </c>
      <c r="E173">
        <v>1148012</v>
      </c>
      <c r="F173">
        <v>1147840</v>
      </c>
      <c r="G173">
        <v>1147840</v>
      </c>
      <c r="H173" t="s">
        <v>128</v>
      </c>
      <c r="I173">
        <v>0</v>
      </c>
      <c r="J173">
        <v>1147840</v>
      </c>
      <c r="K173">
        <v>1147840</v>
      </c>
      <c r="L173" t="s">
        <v>128</v>
      </c>
      <c r="M173">
        <v>0</v>
      </c>
      <c r="N173">
        <v>1147840</v>
      </c>
      <c r="O173">
        <v>1147777.6000000001</v>
      </c>
      <c r="P173" t="s">
        <v>128</v>
      </c>
      <c r="Q173">
        <v>0</v>
      </c>
    </row>
    <row r="174" spans="1:17" x14ac:dyDescent="0.3">
      <c r="B174" t="s">
        <v>148</v>
      </c>
      <c r="E174">
        <v>1144756</v>
      </c>
      <c r="F174">
        <v>1144756</v>
      </c>
      <c r="G174">
        <v>1144756</v>
      </c>
      <c r="H174">
        <v>4.9982680000000004</v>
      </c>
      <c r="I174">
        <v>10</v>
      </c>
      <c r="J174">
        <v>1144756</v>
      </c>
      <c r="K174">
        <v>1144756</v>
      </c>
      <c r="L174">
        <v>12.312074000000001</v>
      </c>
      <c r="M174">
        <v>10</v>
      </c>
      <c r="N174">
        <v>1144756</v>
      </c>
      <c r="O174">
        <v>1144756</v>
      </c>
      <c r="P174">
        <v>43.432969999999997</v>
      </c>
      <c r="Q174">
        <v>10</v>
      </c>
    </row>
    <row r="175" spans="1:17" x14ac:dyDescent="0.3">
      <c r="B175" t="s">
        <v>149</v>
      </c>
      <c r="E175">
        <v>1133572</v>
      </c>
      <c r="F175">
        <v>1133572</v>
      </c>
      <c r="G175">
        <v>1133572</v>
      </c>
      <c r="H175">
        <v>5.5596909999999999</v>
      </c>
      <c r="I175">
        <v>10</v>
      </c>
      <c r="J175">
        <v>1133572</v>
      </c>
      <c r="K175">
        <v>1133572</v>
      </c>
      <c r="L175">
        <v>9.1958839999999995</v>
      </c>
      <c r="M175">
        <v>10</v>
      </c>
      <c r="N175">
        <v>1133572</v>
      </c>
      <c r="O175">
        <v>1133572</v>
      </c>
      <c r="P175">
        <v>66.972685999999996</v>
      </c>
      <c r="Q175">
        <v>10</v>
      </c>
    </row>
    <row r="176" spans="1:17" x14ac:dyDescent="0.3">
      <c r="B176" t="s">
        <v>150</v>
      </c>
      <c r="E176">
        <v>1149064</v>
      </c>
      <c r="F176">
        <v>1149064</v>
      </c>
      <c r="G176">
        <v>1149064</v>
      </c>
      <c r="H176">
        <v>13.778415000000001</v>
      </c>
      <c r="I176">
        <v>10</v>
      </c>
      <c r="J176">
        <v>1149064</v>
      </c>
      <c r="K176">
        <v>1149064</v>
      </c>
      <c r="L176">
        <v>25.467846000000002</v>
      </c>
      <c r="M176">
        <v>10</v>
      </c>
      <c r="N176">
        <v>1149064</v>
      </c>
      <c r="O176">
        <v>1149064</v>
      </c>
      <c r="P176">
        <v>282.50883499999998</v>
      </c>
      <c r="Q176">
        <v>10</v>
      </c>
    </row>
    <row r="177" spans="1:17" x14ac:dyDescent="0.3">
      <c r="B177" t="s">
        <v>151</v>
      </c>
      <c r="E177">
        <v>1142762</v>
      </c>
      <c r="F177">
        <v>1142762</v>
      </c>
      <c r="G177">
        <v>1142762</v>
      </c>
      <c r="H177">
        <v>15.081834000000001</v>
      </c>
      <c r="I177">
        <v>10</v>
      </c>
      <c r="J177">
        <v>1142762</v>
      </c>
      <c r="K177">
        <v>1142762</v>
      </c>
      <c r="L177">
        <v>18.708983</v>
      </c>
      <c r="M177">
        <v>10</v>
      </c>
      <c r="N177">
        <v>1142762</v>
      </c>
      <c r="O177">
        <v>1142762</v>
      </c>
      <c r="P177">
        <v>153.61799999999999</v>
      </c>
      <c r="Q177">
        <v>10</v>
      </c>
    </row>
    <row r="178" spans="1:17" x14ac:dyDescent="0.3">
      <c r="B178" t="s">
        <v>152</v>
      </c>
      <c r="E178">
        <v>1138866</v>
      </c>
      <c r="F178">
        <v>1138866</v>
      </c>
      <c r="G178">
        <v>1138866</v>
      </c>
      <c r="H178">
        <v>8.8252629999999996</v>
      </c>
      <c r="I178">
        <v>10</v>
      </c>
      <c r="J178">
        <v>1138866</v>
      </c>
      <c r="K178">
        <v>1138866</v>
      </c>
      <c r="L178">
        <v>36.874448999999998</v>
      </c>
      <c r="M178">
        <v>10</v>
      </c>
      <c r="N178">
        <v>1138866</v>
      </c>
      <c r="O178">
        <v>1138865.3999999999</v>
      </c>
      <c r="P178">
        <v>240.56301999999999</v>
      </c>
      <c r="Q178">
        <v>9</v>
      </c>
    </row>
    <row r="179" spans="1:17" x14ac:dyDescent="0.3">
      <c r="B179" t="s">
        <v>153</v>
      </c>
      <c r="E179">
        <v>1153936</v>
      </c>
      <c r="F179">
        <v>1153936</v>
      </c>
      <c r="G179">
        <v>1153936</v>
      </c>
      <c r="H179">
        <v>10.808073</v>
      </c>
      <c r="I179">
        <v>10</v>
      </c>
      <c r="J179">
        <v>1153936</v>
      </c>
      <c r="K179">
        <v>1153936</v>
      </c>
      <c r="L179">
        <v>15.512878000000001</v>
      </c>
      <c r="M179">
        <v>10</v>
      </c>
      <c r="N179">
        <v>1153936</v>
      </c>
      <c r="O179">
        <v>1153919.6000000001</v>
      </c>
      <c r="P179">
        <v>190.04243500000001</v>
      </c>
      <c r="Q179">
        <v>9</v>
      </c>
    </row>
    <row r="180" spans="1:17" x14ac:dyDescent="0.3">
      <c r="A180" t="s">
        <v>356</v>
      </c>
      <c r="F180" s="8">
        <f t="array" ref="F180">AVERAGE((E170:E179-F170:F179)/E170:E179)</f>
        <v>1.4982421786531849E-5</v>
      </c>
      <c r="G180" s="2">
        <f t="array" ref="G180">AVERAGE((E170:E179-G170:G179)/E170:E179)</f>
        <v>1.4982421786531849E-5</v>
      </c>
      <c r="I180" s="1">
        <f>SUM(I170:I179)</f>
        <v>90</v>
      </c>
      <c r="J180" s="3">
        <f t="array" ref="J180">AVERAGE((E170:E179-J170:J179)/E170:E179)</f>
        <v>1.4982421786531849E-5</v>
      </c>
      <c r="K180" s="2">
        <f t="array" ref="K180">AVERAGE((E170:E179-K170:K179)/E170:E179)</f>
        <v>1.4982421786531849E-5</v>
      </c>
      <c r="M180" s="1">
        <f>SUM(M170:M179)</f>
        <v>90</v>
      </c>
      <c r="N180" s="3">
        <f t="array" ref="N180">AVERAGE((E170:E179-N170:N179)/E170:E179)</f>
        <v>1.4982421786531849E-5</v>
      </c>
      <c r="O180" s="2">
        <f t="array" ref="O180">AVERAGE((E170:E179-O170:O179)/E170:E179)</f>
        <v>2.2883567720435632E-5</v>
      </c>
      <c r="Q180" s="1">
        <f>SUM(Q170:Q179)</f>
        <v>87</v>
      </c>
    </row>
    <row r="181" spans="1:17" x14ac:dyDescent="0.3">
      <c r="A181" t="s">
        <v>366</v>
      </c>
      <c r="B181" t="s">
        <v>154</v>
      </c>
      <c r="E181">
        <v>6502330</v>
      </c>
      <c r="F181">
        <v>6502330</v>
      </c>
      <c r="G181">
        <v>6502330</v>
      </c>
      <c r="H181">
        <v>111.945752</v>
      </c>
      <c r="I181">
        <v>10</v>
      </c>
      <c r="J181">
        <v>6502330</v>
      </c>
      <c r="K181">
        <v>6502330</v>
      </c>
      <c r="L181">
        <v>157.58668</v>
      </c>
      <c r="M181">
        <v>10</v>
      </c>
      <c r="N181">
        <v>6502330</v>
      </c>
      <c r="O181">
        <v>6502285.5</v>
      </c>
      <c r="P181">
        <v>260.56318399999998</v>
      </c>
      <c r="Q181">
        <v>5</v>
      </c>
    </row>
    <row r="182" spans="1:17" x14ac:dyDescent="0.3">
      <c r="B182" t="s">
        <v>155</v>
      </c>
      <c r="E182">
        <v>18272568</v>
      </c>
      <c r="F182">
        <v>18272568</v>
      </c>
      <c r="G182">
        <v>18272568</v>
      </c>
      <c r="H182">
        <v>12.802816999999999</v>
      </c>
      <c r="I182">
        <v>10</v>
      </c>
      <c r="J182">
        <v>18272568</v>
      </c>
      <c r="K182">
        <v>18272568</v>
      </c>
      <c r="L182">
        <v>20.057009999999998</v>
      </c>
      <c r="M182">
        <v>10</v>
      </c>
      <c r="N182">
        <v>18272568</v>
      </c>
      <c r="O182">
        <v>18272568</v>
      </c>
      <c r="P182">
        <v>83.658465000000007</v>
      </c>
      <c r="Q182">
        <v>10</v>
      </c>
    </row>
    <row r="183" spans="1:17" x14ac:dyDescent="0.3">
      <c r="B183" t="s">
        <v>156</v>
      </c>
      <c r="E183">
        <v>29867138</v>
      </c>
      <c r="F183">
        <v>29867138</v>
      </c>
      <c r="G183">
        <v>29867138</v>
      </c>
      <c r="H183">
        <v>5.976502</v>
      </c>
      <c r="I183">
        <v>10</v>
      </c>
      <c r="J183">
        <v>29867138</v>
      </c>
      <c r="K183">
        <v>29867138</v>
      </c>
      <c r="L183">
        <v>11.070130000000001</v>
      </c>
      <c r="M183">
        <v>10</v>
      </c>
      <c r="N183">
        <v>29867138</v>
      </c>
      <c r="O183">
        <v>29867138</v>
      </c>
      <c r="P183">
        <v>32.843933999999997</v>
      </c>
      <c r="Q183">
        <v>10</v>
      </c>
    </row>
    <row r="184" spans="1:17" x14ac:dyDescent="0.3">
      <c r="B184" t="s">
        <v>157</v>
      </c>
      <c r="E184">
        <v>46915044</v>
      </c>
      <c r="F184">
        <v>46915044</v>
      </c>
      <c r="G184">
        <v>46915044</v>
      </c>
      <c r="H184">
        <v>21.837202999999999</v>
      </c>
      <c r="I184">
        <v>10</v>
      </c>
      <c r="J184">
        <v>46915044</v>
      </c>
      <c r="K184">
        <v>46915044</v>
      </c>
      <c r="L184">
        <v>40.519744000000003</v>
      </c>
      <c r="M184">
        <v>10</v>
      </c>
      <c r="N184">
        <v>46915044</v>
      </c>
      <c r="O184">
        <v>46915032.399999999</v>
      </c>
      <c r="P184">
        <v>250.80758299999999</v>
      </c>
      <c r="Q184">
        <v>8</v>
      </c>
    </row>
    <row r="185" spans="1:17" x14ac:dyDescent="0.3">
      <c r="B185" t="s">
        <v>158</v>
      </c>
      <c r="E185">
        <v>58095467</v>
      </c>
      <c r="F185">
        <v>58095467</v>
      </c>
      <c r="G185">
        <v>58095467</v>
      </c>
      <c r="H185">
        <v>8.1761719999999993</v>
      </c>
      <c r="I185">
        <v>10</v>
      </c>
      <c r="J185">
        <v>58095467</v>
      </c>
      <c r="K185">
        <v>58095467</v>
      </c>
      <c r="L185">
        <v>9.4001029999999997</v>
      </c>
      <c r="M185">
        <v>10</v>
      </c>
      <c r="N185">
        <v>58095467</v>
      </c>
      <c r="O185">
        <v>58095467</v>
      </c>
      <c r="P185">
        <v>72.366904000000005</v>
      </c>
      <c r="Q185">
        <v>10</v>
      </c>
    </row>
    <row r="186" spans="1:17" x14ac:dyDescent="0.3">
      <c r="B186" t="s">
        <v>159</v>
      </c>
      <c r="E186">
        <v>17509433</v>
      </c>
      <c r="F186">
        <v>17509369</v>
      </c>
      <c r="G186">
        <v>17509343.699999999</v>
      </c>
      <c r="H186" t="s">
        <v>128</v>
      </c>
      <c r="I186">
        <v>0</v>
      </c>
      <c r="J186">
        <v>17509369</v>
      </c>
      <c r="K186">
        <v>17509201.399999999</v>
      </c>
      <c r="L186" t="s">
        <v>128</v>
      </c>
      <c r="M186">
        <v>0</v>
      </c>
      <c r="N186">
        <v>17508976</v>
      </c>
      <c r="O186">
        <v>17508783.600000001</v>
      </c>
      <c r="P186" t="s">
        <v>128</v>
      </c>
      <c r="Q186">
        <v>0</v>
      </c>
    </row>
    <row r="187" spans="1:17" x14ac:dyDescent="0.3">
      <c r="B187" t="s">
        <v>160</v>
      </c>
      <c r="E187">
        <v>50103092</v>
      </c>
      <c r="F187">
        <v>50103071</v>
      </c>
      <c r="G187">
        <v>50103065.600000001</v>
      </c>
      <c r="H187" t="s">
        <v>128</v>
      </c>
      <c r="I187">
        <v>0</v>
      </c>
      <c r="J187">
        <v>50103071</v>
      </c>
      <c r="K187">
        <v>50103052.700000003</v>
      </c>
      <c r="L187" t="s">
        <v>128</v>
      </c>
      <c r="M187">
        <v>0</v>
      </c>
      <c r="N187">
        <v>50103071</v>
      </c>
      <c r="O187">
        <v>50102801.100000001</v>
      </c>
      <c r="P187" t="s">
        <v>128</v>
      </c>
      <c r="Q187">
        <v>0</v>
      </c>
    </row>
    <row r="188" spans="1:17" x14ac:dyDescent="0.3">
      <c r="B188" t="s">
        <v>161</v>
      </c>
      <c r="E188">
        <v>82040316</v>
      </c>
      <c r="F188">
        <v>82040316</v>
      </c>
      <c r="G188">
        <v>82040126.799999997</v>
      </c>
      <c r="H188">
        <v>77.915565000000001</v>
      </c>
      <c r="I188">
        <v>1</v>
      </c>
      <c r="J188">
        <v>82040271</v>
      </c>
      <c r="K188">
        <v>82040123.099999994</v>
      </c>
      <c r="L188" t="s">
        <v>128</v>
      </c>
      <c r="M188">
        <v>0</v>
      </c>
      <c r="N188">
        <v>82040100</v>
      </c>
      <c r="O188">
        <v>82039468.599999994</v>
      </c>
      <c r="P188" t="s">
        <v>128</v>
      </c>
      <c r="Q188">
        <v>0</v>
      </c>
    </row>
    <row r="189" spans="1:17" x14ac:dyDescent="0.3">
      <c r="B189" t="s">
        <v>162</v>
      </c>
      <c r="E189">
        <v>129413710</v>
      </c>
      <c r="F189">
        <v>129413710</v>
      </c>
      <c r="G189">
        <v>129413525.8</v>
      </c>
      <c r="H189">
        <v>373.66581600000001</v>
      </c>
      <c r="I189">
        <v>3</v>
      </c>
      <c r="J189">
        <v>129413702</v>
      </c>
      <c r="K189">
        <v>129413469.2</v>
      </c>
      <c r="L189" t="s">
        <v>128</v>
      </c>
      <c r="M189">
        <v>0</v>
      </c>
      <c r="N189">
        <v>129413415</v>
      </c>
      <c r="O189">
        <v>129413237.7</v>
      </c>
      <c r="P189" t="s">
        <v>128</v>
      </c>
      <c r="Q189">
        <v>0</v>
      </c>
    </row>
    <row r="190" spans="1:17" x14ac:dyDescent="0.3">
      <c r="B190" t="s">
        <v>163</v>
      </c>
      <c r="E190">
        <v>160598156</v>
      </c>
      <c r="F190">
        <v>160598156</v>
      </c>
      <c r="G190">
        <v>160598144.59999999</v>
      </c>
      <c r="H190">
        <v>227.36360999999999</v>
      </c>
      <c r="I190">
        <v>9</v>
      </c>
      <c r="J190">
        <v>160598156</v>
      </c>
      <c r="K190">
        <v>160598031.80000001</v>
      </c>
      <c r="L190">
        <v>319.04386699999998</v>
      </c>
      <c r="M190">
        <v>1</v>
      </c>
      <c r="N190">
        <v>160598020</v>
      </c>
      <c r="O190">
        <v>160597818.80000001</v>
      </c>
      <c r="P190" t="s">
        <v>128</v>
      </c>
      <c r="Q190">
        <v>0</v>
      </c>
    </row>
    <row r="191" spans="1:17" x14ac:dyDescent="0.3">
      <c r="A191" t="s">
        <v>356</v>
      </c>
      <c r="F191" s="3">
        <f t="array" ref="F191">AVERAGE((E181:E190-F181:F190)/E181:E190)</f>
        <v>4.07430842369357E-7</v>
      </c>
      <c r="G191" s="2">
        <f t="array" ref="G191">AVERAGE((E181:E190-G181:G190)/E181:E190)</f>
        <v>9.4275317127003226E-7</v>
      </c>
      <c r="I191" s="1">
        <f>SUM(I181:I190)</f>
        <v>63</v>
      </c>
      <c r="J191" s="3">
        <f t="array" ref="J191">AVERAGE((E181:E190-J181:J190)/E181:E190)</f>
        <v>4.6846364840698726E-7</v>
      </c>
      <c r="K191" s="2">
        <f t="array" ref="K191">AVERAGE((E181:E190-K181:K190)/E181:E190)</f>
        <v>1.8996879744115811E-6</v>
      </c>
      <c r="M191" s="1">
        <f>SUM(M181:M190)</f>
        <v>51</v>
      </c>
      <c r="N191" s="3">
        <f t="array" ref="N191">AVERAGE((E181:E190-N181:N190)/E181:E190)</f>
        <v>3.2278549959131116E-6</v>
      </c>
      <c r="O191" s="2">
        <f t="array" ref="O191">AVERAGE((E181:E190-O181:O190)/E181:E190)</f>
        <v>6.606381913372215E-6</v>
      </c>
      <c r="Q191" s="1">
        <f>SUM(Q181:Q190)</f>
        <v>43</v>
      </c>
    </row>
    <row r="192" spans="1:17" x14ac:dyDescent="0.3">
      <c r="A192" t="s">
        <v>367</v>
      </c>
      <c r="B192" t="s">
        <v>199</v>
      </c>
      <c r="E192">
        <v>42.44903</v>
      </c>
      <c r="F192">
        <v>42.44903</v>
      </c>
      <c r="G192">
        <v>42.44903</v>
      </c>
      <c r="H192">
        <v>58.446966000000003</v>
      </c>
      <c r="I192">
        <v>10</v>
      </c>
      <c r="J192">
        <v>42.44903</v>
      </c>
      <c r="K192">
        <v>42.44903</v>
      </c>
      <c r="L192">
        <v>67.256649999999993</v>
      </c>
      <c r="M192">
        <v>10</v>
      </c>
      <c r="N192">
        <v>42.44903</v>
      </c>
      <c r="O192">
        <v>42.44903</v>
      </c>
      <c r="P192">
        <v>266.28677199999998</v>
      </c>
      <c r="Q192">
        <v>10</v>
      </c>
    </row>
    <row r="193" spans="1:17" x14ac:dyDescent="0.3">
      <c r="B193" t="s">
        <v>200</v>
      </c>
      <c r="E193">
        <v>78.999459999999999</v>
      </c>
      <c r="F193">
        <v>78.999459999999999</v>
      </c>
      <c r="G193">
        <v>78.999459999999999</v>
      </c>
      <c r="H193">
        <v>43.555256999999997</v>
      </c>
      <c r="I193">
        <v>10</v>
      </c>
      <c r="J193">
        <v>78.999459999999999</v>
      </c>
      <c r="K193">
        <v>78.999459999999999</v>
      </c>
      <c r="L193">
        <v>60.908738999999997</v>
      </c>
      <c r="M193">
        <v>10</v>
      </c>
      <c r="N193">
        <v>78.999459999999999</v>
      </c>
      <c r="O193">
        <v>78.968378000000001</v>
      </c>
      <c r="P193">
        <v>207.27447699999999</v>
      </c>
      <c r="Q193">
        <v>9</v>
      </c>
    </row>
    <row r="194" spans="1:17" x14ac:dyDescent="0.3">
      <c r="B194" t="s">
        <v>201</v>
      </c>
      <c r="E194">
        <v>120.42254</v>
      </c>
      <c r="F194">
        <v>120.42254</v>
      </c>
      <c r="G194">
        <v>120.42254</v>
      </c>
      <c r="H194">
        <v>32.502569000000001</v>
      </c>
      <c r="I194">
        <v>10</v>
      </c>
      <c r="J194">
        <v>120.42254</v>
      </c>
      <c r="K194">
        <v>120.42254</v>
      </c>
      <c r="L194">
        <v>57.384458000000002</v>
      </c>
      <c r="M194">
        <v>10</v>
      </c>
      <c r="N194">
        <v>120.42254</v>
      </c>
      <c r="O194">
        <v>120.421048</v>
      </c>
      <c r="P194">
        <v>162.22868800000001</v>
      </c>
      <c r="Q194">
        <v>4</v>
      </c>
    </row>
    <row r="195" spans="1:17" x14ac:dyDescent="0.3">
      <c r="B195" t="s">
        <v>202</v>
      </c>
      <c r="E195">
        <v>162.06796</v>
      </c>
      <c r="F195">
        <v>162.06796</v>
      </c>
      <c r="G195">
        <v>162.06796</v>
      </c>
      <c r="H195">
        <v>10.824721</v>
      </c>
      <c r="I195">
        <v>10</v>
      </c>
      <c r="J195">
        <v>162.06796</v>
      </c>
      <c r="K195">
        <v>162.06796</v>
      </c>
      <c r="L195">
        <v>14.131404</v>
      </c>
      <c r="M195">
        <v>10</v>
      </c>
      <c r="N195">
        <v>162.06796</v>
      </c>
      <c r="O195">
        <v>162.06796</v>
      </c>
      <c r="P195">
        <v>80.621869000000004</v>
      </c>
      <c r="Q195">
        <v>10</v>
      </c>
    </row>
    <row r="196" spans="1:17" x14ac:dyDescent="0.3">
      <c r="B196" t="s">
        <v>203</v>
      </c>
      <c r="E196">
        <v>202.68812</v>
      </c>
      <c r="F196">
        <v>202.68812</v>
      </c>
      <c r="G196">
        <v>202.68209100000001</v>
      </c>
      <c r="H196">
        <v>222.629268</v>
      </c>
      <c r="I196">
        <v>9</v>
      </c>
      <c r="J196">
        <v>202.68812</v>
      </c>
      <c r="K196">
        <v>202.66208900000001</v>
      </c>
      <c r="L196">
        <v>278.49792000000002</v>
      </c>
      <c r="M196">
        <v>6</v>
      </c>
      <c r="N196">
        <v>202.68812</v>
      </c>
      <c r="O196">
        <v>202.51083299999999</v>
      </c>
      <c r="P196">
        <v>255.92432299999999</v>
      </c>
      <c r="Q196">
        <v>1</v>
      </c>
    </row>
    <row r="197" spans="1:17" x14ac:dyDescent="0.3">
      <c r="A197" t="s">
        <v>356</v>
      </c>
      <c r="F197" s="3">
        <f t="array" ref="F197">AVERAGE((E192:E196-F192:F196)/E192:E196)</f>
        <v>0</v>
      </c>
      <c r="G197" s="4">
        <f t="array" ref="G197">AVERAGE((E192:E196-G192:G196)/E192:E196)</f>
        <v>5.9490413152816784E-6</v>
      </c>
      <c r="I197" s="1">
        <f>SUM(I192:I196)</f>
        <v>49</v>
      </c>
      <c r="J197" s="3">
        <f t="array" ref="J197">AVERAGE((E192:E196-J192:J196)/E192:E196)</f>
        <v>0</v>
      </c>
      <c r="K197" s="2">
        <f t="array" ref="K197">AVERAGE((E192:E196-K192:K196)/E192:E196)</f>
        <v>2.5685767868377324E-5</v>
      </c>
      <c r="M197" s="1">
        <f>SUM(M192:M196)</f>
        <v>46</v>
      </c>
      <c r="N197" s="3">
        <f t="array" ref="N197">AVERAGE((E192:E196-N192:N196)/E192:E196)</f>
        <v>0</v>
      </c>
      <c r="O197" s="7">
        <f t="array" ref="O197">AVERAGE((E192:E196-O192:O196)/E192:E196)</f>
        <v>2.5610284533708117E-4</v>
      </c>
      <c r="Q197" s="1">
        <f>SUM(Q192:Q196)</f>
        <v>34</v>
      </c>
    </row>
    <row r="198" spans="1:17" x14ac:dyDescent="0.3">
      <c r="A198" t="s">
        <v>368</v>
      </c>
      <c r="B198" t="s">
        <v>184</v>
      </c>
      <c r="E198">
        <v>417.89166999999998</v>
      </c>
      <c r="F198">
        <v>417.89166999999998</v>
      </c>
      <c r="G198">
        <v>417.89166999999998</v>
      </c>
      <c r="H198">
        <v>1.913435</v>
      </c>
      <c r="I198">
        <v>10</v>
      </c>
      <c r="J198">
        <v>417.89166999999998</v>
      </c>
      <c r="K198">
        <v>417.89166999999998</v>
      </c>
      <c r="L198">
        <v>1.8863989999999999</v>
      </c>
      <c r="M198">
        <v>10</v>
      </c>
      <c r="N198">
        <v>417.89166999999998</v>
      </c>
      <c r="O198">
        <v>417.89166999999998</v>
      </c>
      <c r="P198">
        <v>2.3392490000000001</v>
      </c>
      <c r="Q198">
        <v>10</v>
      </c>
    </row>
    <row r="199" spans="1:17" x14ac:dyDescent="0.3">
      <c r="B199" t="s">
        <v>185</v>
      </c>
      <c r="E199">
        <v>594.53268000000003</v>
      </c>
      <c r="F199">
        <v>594.53268000000003</v>
      </c>
      <c r="G199">
        <v>594.49003900000002</v>
      </c>
      <c r="H199">
        <v>308.67018899999999</v>
      </c>
      <c r="I199">
        <v>9</v>
      </c>
      <c r="J199">
        <v>594.53268000000003</v>
      </c>
      <c r="K199">
        <v>594.234193</v>
      </c>
      <c r="L199">
        <v>220.02762100000001</v>
      </c>
      <c r="M199">
        <v>3</v>
      </c>
      <c r="N199">
        <v>594.21272999999997</v>
      </c>
      <c r="O199">
        <v>593.84946500000001</v>
      </c>
      <c r="P199" t="s">
        <v>128</v>
      </c>
      <c r="Q199">
        <v>0</v>
      </c>
    </row>
    <row r="200" spans="1:17" x14ac:dyDescent="0.3">
      <c r="B200" t="s">
        <v>186</v>
      </c>
      <c r="E200">
        <v>733.41214000000002</v>
      </c>
      <c r="F200">
        <v>732.53702999999996</v>
      </c>
      <c r="G200">
        <v>732.44775000000004</v>
      </c>
      <c r="H200" t="s">
        <v>128</v>
      </c>
      <c r="I200">
        <v>0</v>
      </c>
      <c r="J200">
        <v>732.87067999999999</v>
      </c>
      <c r="K200">
        <v>732.32978000000003</v>
      </c>
      <c r="L200" t="s">
        <v>128</v>
      </c>
      <c r="M200">
        <v>0</v>
      </c>
      <c r="N200">
        <v>732.06060000000002</v>
      </c>
      <c r="O200">
        <v>730.79846799999996</v>
      </c>
      <c r="P200" t="s">
        <v>128</v>
      </c>
      <c r="Q200">
        <v>0</v>
      </c>
    </row>
    <row r="201" spans="1:17" x14ac:dyDescent="0.3">
      <c r="B201" t="s">
        <v>187</v>
      </c>
      <c r="E201">
        <v>854.70953999999995</v>
      </c>
      <c r="F201">
        <v>854.53974000000005</v>
      </c>
      <c r="G201">
        <v>854.06531600000005</v>
      </c>
      <c r="H201" t="s">
        <v>128</v>
      </c>
      <c r="I201">
        <v>0</v>
      </c>
      <c r="J201">
        <v>854.34946000000002</v>
      </c>
      <c r="K201">
        <v>853.65701799999999</v>
      </c>
      <c r="L201" t="s">
        <v>128</v>
      </c>
      <c r="M201">
        <v>0</v>
      </c>
      <c r="N201">
        <v>854.34946000000002</v>
      </c>
      <c r="O201">
        <v>851.61996199999999</v>
      </c>
      <c r="P201" t="s">
        <v>128</v>
      </c>
      <c r="Q201">
        <v>0</v>
      </c>
    </row>
    <row r="202" spans="1:17" x14ac:dyDescent="0.3">
      <c r="B202" t="s">
        <v>188</v>
      </c>
      <c r="E202">
        <v>963.02416000000005</v>
      </c>
      <c r="F202">
        <v>962.18091000000004</v>
      </c>
      <c r="G202">
        <v>961.40156899999999</v>
      </c>
      <c r="H202" t="s">
        <v>128</v>
      </c>
      <c r="I202">
        <v>0</v>
      </c>
      <c r="J202">
        <v>961.39467000000002</v>
      </c>
      <c r="K202">
        <v>960.493425</v>
      </c>
      <c r="L202" t="s">
        <v>128</v>
      </c>
      <c r="M202">
        <v>0</v>
      </c>
      <c r="N202">
        <v>959.34623999999997</v>
      </c>
      <c r="O202">
        <v>956.499684</v>
      </c>
      <c r="P202" t="s">
        <v>128</v>
      </c>
      <c r="Q202">
        <v>0</v>
      </c>
    </row>
    <row r="203" spans="1:17" x14ac:dyDescent="0.3">
      <c r="A203" t="s">
        <v>356</v>
      </c>
      <c r="F203" s="6">
        <f t="array" ref="F203">AVERAGE((E198:E202-F198:F202)/E198:E202)</f>
        <v>4.5349892378732017E-4</v>
      </c>
      <c r="G203" s="7">
        <f t="array" ref="G203">AVERAGE((E198:E202-G198:G202)/E198:E202)</f>
        <v>7.6505670661414888E-4</v>
      </c>
      <c r="I203" s="1">
        <f>SUM(I198:I202)</f>
        <v>19</v>
      </c>
      <c r="J203" s="6">
        <f t="array" ref="J203">AVERAGE((E198:E202-J198:J202)/E198:E202)</f>
        <v>5.7032393751178161E-4</v>
      </c>
      <c r="K203" s="7">
        <f t="array" ref="K203">AVERAGE((E198:E202-K198:K202)/E198:E202)</f>
        <v>1.1674364371376247E-3</v>
      </c>
      <c r="M203" s="1">
        <f>SUM(M198:M202)</f>
        <v>13</v>
      </c>
      <c r="N203" s="6">
        <f t="array" ref="N203">AVERAGE((E198:E202-N198:N202)/E198:E202)</f>
        <v>1.3242779783865653E-3</v>
      </c>
      <c r="O203" s="7">
        <f t="array" ref="O203">AVERAGE((E198:E202-O198:O202)/E198:E202)</f>
        <v>3.0205269277690564E-3</v>
      </c>
      <c r="Q203" s="1">
        <f>SUM(Q198:Q202)</f>
        <v>10</v>
      </c>
    </row>
    <row r="204" spans="1:17" x14ac:dyDescent="0.3">
      <c r="A204" t="s">
        <v>369</v>
      </c>
      <c r="B204" t="s">
        <v>194</v>
      </c>
      <c r="E204">
        <v>73.725110000000001</v>
      </c>
      <c r="F204">
        <v>73.725110000000001</v>
      </c>
      <c r="G204">
        <v>73.725110000000001</v>
      </c>
      <c r="H204">
        <v>7.3153999999999997E-2</v>
      </c>
      <c r="I204">
        <v>10</v>
      </c>
      <c r="J204">
        <v>73.725110000000001</v>
      </c>
      <c r="K204">
        <v>73.725110000000001</v>
      </c>
      <c r="L204">
        <v>7.7686000000000005E-2</v>
      </c>
      <c r="M204">
        <v>10</v>
      </c>
      <c r="N204">
        <v>73.725110000000001</v>
      </c>
      <c r="O204">
        <v>73.725110000000001</v>
      </c>
      <c r="P204">
        <v>0.117105</v>
      </c>
      <c r="Q204">
        <v>10</v>
      </c>
    </row>
    <row r="205" spans="1:17" x14ac:dyDescent="0.3">
      <c r="B205" t="s">
        <v>195</v>
      </c>
      <c r="E205">
        <v>135.45123000000001</v>
      </c>
      <c r="F205">
        <v>135.45123000000001</v>
      </c>
      <c r="G205">
        <v>135.45123000000001</v>
      </c>
      <c r="H205">
        <v>1.8102739999999999</v>
      </c>
      <c r="I205">
        <v>10</v>
      </c>
      <c r="J205">
        <v>135.45123000000001</v>
      </c>
      <c r="K205">
        <v>135.45123000000001</v>
      </c>
      <c r="L205">
        <v>2.5278830000000001</v>
      </c>
      <c r="M205">
        <v>10</v>
      </c>
      <c r="N205">
        <v>135.45123000000001</v>
      </c>
      <c r="O205">
        <v>135.45123000000001</v>
      </c>
      <c r="P205">
        <v>2.6326809999999998</v>
      </c>
      <c r="Q205">
        <v>10</v>
      </c>
    </row>
    <row r="206" spans="1:17" x14ac:dyDescent="0.3">
      <c r="B206" t="s">
        <v>196</v>
      </c>
      <c r="E206">
        <v>180.66899000000001</v>
      </c>
      <c r="F206">
        <v>180.66899000000001</v>
      </c>
      <c r="G206">
        <v>180.66899000000001</v>
      </c>
      <c r="H206">
        <v>16.941179999999999</v>
      </c>
      <c r="I206">
        <v>10</v>
      </c>
      <c r="J206">
        <v>180.66899000000001</v>
      </c>
      <c r="K206">
        <v>180.66899000000001</v>
      </c>
      <c r="L206">
        <v>35.898421999999997</v>
      </c>
      <c r="M206">
        <v>10</v>
      </c>
      <c r="N206">
        <v>180.66899000000001</v>
      </c>
      <c r="O206">
        <v>180.66899000000001</v>
      </c>
      <c r="P206">
        <v>156.588549</v>
      </c>
      <c r="Q206">
        <v>10</v>
      </c>
    </row>
    <row r="207" spans="1:17" x14ac:dyDescent="0.3">
      <c r="B207" t="s">
        <v>197</v>
      </c>
      <c r="E207">
        <v>216.52959999999999</v>
      </c>
      <c r="F207">
        <v>216.52959999999999</v>
      </c>
      <c r="G207">
        <v>216.52959999999999</v>
      </c>
      <c r="H207">
        <v>48.092229000000003</v>
      </c>
      <c r="I207">
        <v>10</v>
      </c>
      <c r="J207">
        <v>216.52959999999999</v>
      </c>
      <c r="K207">
        <v>216.529222</v>
      </c>
      <c r="L207">
        <v>90.621979999999994</v>
      </c>
      <c r="M207">
        <v>9</v>
      </c>
      <c r="N207">
        <v>216.52959999999999</v>
      </c>
      <c r="O207">
        <v>216.51576700000001</v>
      </c>
      <c r="P207">
        <v>178.767526</v>
      </c>
      <c r="Q207">
        <v>3</v>
      </c>
    </row>
    <row r="208" spans="1:17" x14ac:dyDescent="0.3">
      <c r="B208" t="s">
        <v>198</v>
      </c>
      <c r="E208">
        <v>247.96358000000001</v>
      </c>
      <c r="F208">
        <v>247.96358000000001</v>
      </c>
      <c r="G208">
        <v>247.96358000000001</v>
      </c>
      <c r="H208">
        <v>2.9811399999999999</v>
      </c>
      <c r="I208">
        <v>10</v>
      </c>
      <c r="J208">
        <v>247.96358000000001</v>
      </c>
      <c r="K208">
        <v>247.96358000000001</v>
      </c>
      <c r="L208">
        <v>14.869070000000001</v>
      </c>
      <c r="M208">
        <v>10</v>
      </c>
      <c r="N208">
        <v>247.96358000000001</v>
      </c>
      <c r="O208">
        <v>247.95635300000001</v>
      </c>
      <c r="P208">
        <v>52.284058999999999</v>
      </c>
      <c r="Q208">
        <v>9</v>
      </c>
    </row>
    <row r="209" spans="1:17" x14ac:dyDescent="0.3">
      <c r="A209" t="s">
        <v>356</v>
      </c>
      <c r="F209" s="3">
        <f t="array" ref="F209">AVERAGE((E204:E208-F204:F208)/E204:E208)</f>
        <v>0</v>
      </c>
      <c r="G209" s="2">
        <f t="array" ref="G209">AVERAGE((E204:E208-G204:G208)/E204:E208)</f>
        <v>0</v>
      </c>
      <c r="I209" s="1">
        <f>SUM(I204:I208)</f>
        <v>50</v>
      </c>
      <c r="J209" s="3">
        <f t="array" ref="J209">AVERAGE((E204:E208-J204:J208)/E204:E208)</f>
        <v>0</v>
      </c>
      <c r="K209" s="2">
        <f t="array" ref="K209">AVERAGE((E204:E208-K204:K208)/E204:E208)</f>
        <v>3.4914395074258499E-7</v>
      </c>
      <c r="M209" s="1">
        <f>SUM(M204:M208)</f>
        <v>49</v>
      </c>
      <c r="N209" s="3">
        <f t="array" ref="N209">AVERAGE((E204:E208-N204:N208)/E204:E208)</f>
        <v>0</v>
      </c>
      <c r="O209" s="2">
        <f t="array" ref="O209">AVERAGE((E204:E208-O204:O208)/E204:E208)</f>
        <v>1.8606087842796016E-5</v>
      </c>
      <c r="Q209" s="1">
        <f>SUM(Q204:Q208)</f>
        <v>42</v>
      </c>
    </row>
    <row r="210" spans="1:17" x14ac:dyDescent="0.3">
      <c r="A210" t="s">
        <v>370</v>
      </c>
      <c r="B210" t="s">
        <v>189</v>
      </c>
      <c r="E210">
        <v>139.14170999999999</v>
      </c>
      <c r="F210">
        <v>139.09605999999999</v>
      </c>
      <c r="G210">
        <v>139.042835</v>
      </c>
      <c r="H210" t="s">
        <v>128</v>
      </c>
      <c r="I210">
        <v>0</v>
      </c>
      <c r="J210">
        <v>139.09605999999999</v>
      </c>
      <c r="K210">
        <v>138.991264</v>
      </c>
      <c r="L210" t="s">
        <v>128</v>
      </c>
      <c r="M210">
        <v>0</v>
      </c>
      <c r="N210">
        <v>138.79882000000001</v>
      </c>
      <c r="O210">
        <v>138.55448699999999</v>
      </c>
      <c r="P210" t="s">
        <v>128</v>
      </c>
      <c r="Q210">
        <v>0</v>
      </c>
    </row>
    <row r="211" spans="1:17" x14ac:dyDescent="0.3">
      <c r="B211" t="s">
        <v>190</v>
      </c>
      <c r="E211">
        <v>239.88853</v>
      </c>
      <c r="F211">
        <v>239.65539000000001</v>
      </c>
      <c r="G211">
        <v>239.55471299999999</v>
      </c>
      <c r="H211" t="s">
        <v>128</v>
      </c>
      <c r="I211">
        <v>0</v>
      </c>
      <c r="J211">
        <v>239.65539000000001</v>
      </c>
      <c r="K211">
        <v>239.51378099999999</v>
      </c>
      <c r="L211" t="s">
        <v>128</v>
      </c>
      <c r="M211">
        <v>0</v>
      </c>
      <c r="N211">
        <v>239.14021</v>
      </c>
      <c r="O211">
        <v>237.961859</v>
      </c>
      <c r="P211" t="s">
        <v>128</v>
      </c>
      <c r="Q211">
        <v>0</v>
      </c>
    </row>
    <row r="212" spans="1:17" x14ac:dyDescent="0.3">
      <c r="B212" t="s">
        <v>191</v>
      </c>
      <c r="E212">
        <v>324.05162999999999</v>
      </c>
      <c r="F212">
        <v>322.45629000000002</v>
      </c>
      <c r="G212">
        <v>321.98321499999997</v>
      </c>
      <c r="H212" t="s">
        <v>128</v>
      </c>
      <c r="I212">
        <v>0</v>
      </c>
      <c r="J212">
        <v>322.16971000000001</v>
      </c>
      <c r="K212">
        <v>321.64573100000001</v>
      </c>
      <c r="L212" t="s">
        <v>128</v>
      </c>
      <c r="M212">
        <v>0</v>
      </c>
      <c r="N212">
        <v>320.9162</v>
      </c>
      <c r="O212">
        <v>319.71530200000001</v>
      </c>
      <c r="P212" t="s">
        <v>128</v>
      </c>
      <c r="Q212">
        <v>0</v>
      </c>
    </row>
    <row r="213" spans="1:17" x14ac:dyDescent="0.3">
      <c r="B213" t="s">
        <v>192</v>
      </c>
      <c r="E213">
        <v>397.0994</v>
      </c>
      <c r="F213">
        <v>394.11655999999999</v>
      </c>
      <c r="G213">
        <v>393.68486200000001</v>
      </c>
      <c r="H213" t="s">
        <v>128</v>
      </c>
      <c r="I213">
        <v>0</v>
      </c>
      <c r="J213">
        <v>394.00295</v>
      </c>
      <c r="K213">
        <v>393.45727199999999</v>
      </c>
      <c r="L213" t="s">
        <v>128</v>
      </c>
      <c r="M213">
        <v>0</v>
      </c>
      <c r="N213">
        <v>392.4409</v>
      </c>
      <c r="O213">
        <v>391.020487</v>
      </c>
      <c r="P213" t="s">
        <v>128</v>
      </c>
      <c r="Q213">
        <v>0</v>
      </c>
    </row>
    <row r="214" spans="1:17" x14ac:dyDescent="0.3">
      <c r="B214" t="s">
        <v>193</v>
      </c>
      <c r="E214">
        <v>462.22345999999999</v>
      </c>
      <c r="F214">
        <v>460.27906000000002</v>
      </c>
      <c r="G214">
        <v>459.53661099999999</v>
      </c>
      <c r="H214" t="s">
        <v>128</v>
      </c>
      <c r="I214">
        <v>0</v>
      </c>
      <c r="J214">
        <v>460.08972</v>
      </c>
      <c r="K214">
        <v>459.29427199999998</v>
      </c>
      <c r="L214" t="s">
        <v>128</v>
      </c>
      <c r="M214">
        <v>0</v>
      </c>
      <c r="N214">
        <v>458.56211000000002</v>
      </c>
      <c r="O214">
        <v>456.32916899999998</v>
      </c>
      <c r="P214" t="s">
        <v>128</v>
      </c>
      <c r="Q214">
        <v>0</v>
      </c>
    </row>
    <row r="215" spans="1:17" x14ac:dyDescent="0.3">
      <c r="A215" t="s">
        <v>356</v>
      </c>
      <c r="F215" s="6">
        <f t="array" ref="F215">AVERAGE((E210:E214-F210:F214)/E210:E214)</f>
        <v>3.5882497460844112E-3</v>
      </c>
      <c r="G215" s="7">
        <f t="array" ref="G215">AVERAGE((E210:E214-G210:G214)/E210:E214)</f>
        <v>4.5793428198313167E-3</v>
      </c>
      <c r="I215" s="1">
        <f>SUM(I210:I214)</f>
        <v>0</v>
      </c>
      <c r="J215" s="6">
        <f t="array" ref="J215">AVERAGE((E210:E214-J210:J214)/E210:E214)</f>
        <v>3.9042684680798681E-3</v>
      </c>
      <c r="K215" s="7">
        <f t="array" ref="K215">AVERAGE((E210:E214-K210:K214)/E210:E214)</f>
        <v>5.115370392726735E-3</v>
      </c>
      <c r="M215" s="1">
        <f>SUM(M210:M214)</f>
        <v>0</v>
      </c>
      <c r="N215" s="6">
        <f t="array" ref="N215">AVERAGE((E210:E214-N210:N214)/E210:E214)</f>
        <v>6.9823941238279837E-3</v>
      </c>
      <c r="O215" s="7">
        <f t="array" ref="O215">AVERAGE((E210:E214-O210:O214)/E210:E214)</f>
        <v>1.0738754749194855E-2</v>
      </c>
      <c r="Q215" s="1">
        <f>SUM(Q210:Q214)</f>
        <v>0</v>
      </c>
    </row>
    <row r="216" spans="1:17" x14ac:dyDescent="0.3">
      <c r="A216" t="s">
        <v>371</v>
      </c>
      <c r="B216" t="s">
        <v>204</v>
      </c>
      <c r="E216">
        <v>142.71664999999999</v>
      </c>
      <c r="F216">
        <v>142.71664999999999</v>
      </c>
      <c r="G216">
        <v>142.71276800000001</v>
      </c>
      <c r="H216">
        <v>177.41532100000001</v>
      </c>
      <c r="I216">
        <v>8</v>
      </c>
      <c r="J216">
        <v>142.71664999999999</v>
      </c>
      <c r="K216">
        <v>142.63273599999999</v>
      </c>
      <c r="L216">
        <v>122.120563</v>
      </c>
      <c r="M216">
        <v>5</v>
      </c>
      <c r="N216">
        <v>142.71664999999999</v>
      </c>
      <c r="O216">
        <v>141.84980899999999</v>
      </c>
      <c r="P216">
        <v>459.36750599999999</v>
      </c>
      <c r="Q216">
        <v>1</v>
      </c>
    </row>
    <row r="217" spans="1:17" x14ac:dyDescent="0.3">
      <c r="B217" t="s">
        <v>205</v>
      </c>
      <c r="E217">
        <v>255.61268999999999</v>
      </c>
      <c r="F217">
        <v>255.5487</v>
      </c>
      <c r="G217">
        <v>255.406497</v>
      </c>
      <c r="H217" t="s">
        <v>128</v>
      </c>
      <c r="I217">
        <v>0</v>
      </c>
      <c r="J217">
        <v>255.5487</v>
      </c>
      <c r="K217">
        <v>255.47181499999999</v>
      </c>
      <c r="L217" t="s">
        <v>128</v>
      </c>
      <c r="M217">
        <v>0</v>
      </c>
      <c r="N217">
        <v>255.54731000000001</v>
      </c>
      <c r="O217">
        <v>254.22807</v>
      </c>
      <c r="P217" t="s">
        <v>128</v>
      </c>
      <c r="Q217">
        <v>0</v>
      </c>
    </row>
    <row r="218" spans="1:17" x14ac:dyDescent="0.3">
      <c r="B218" t="s">
        <v>206</v>
      </c>
      <c r="E218">
        <v>354.48030999999997</v>
      </c>
      <c r="F218">
        <v>354.41550000000001</v>
      </c>
      <c r="G218">
        <v>354.104579</v>
      </c>
      <c r="H218" t="s">
        <v>128</v>
      </c>
      <c r="I218">
        <v>0</v>
      </c>
      <c r="J218">
        <v>354.17773499999998</v>
      </c>
      <c r="K218">
        <v>353.87789400000003</v>
      </c>
      <c r="L218" t="s">
        <v>128</v>
      </c>
      <c r="M218">
        <v>0</v>
      </c>
      <c r="N218">
        <v>353.74532499999998</v>
      </c>
      <c r="O218">
        <v>352.78449449999999</v>
      </c>
      <c r="P218" t="s">
        <v>128</v>
      </c>
      <c r="Q218">
        <v>0</v>
      </c>
    </row>
    <row r="219" spans="1:17" x14ac:dyDescent="0.3">
      <c r="B219" t="s">
        <v>207</v>
      </c>
      <c r="E219">
        <v>442.88250499999998</v>
      </c>
      <c r="F219">
        <v>442.70606500000002</v>
      </c>
      <c r="G219">
        <v>442.20117299999998</v>
      </c>
      <c r="H219" t="s">
        <v>128</v>
      </c>
      <c r="I219">
        <v>0</v>
      </c>
      <c r="J219">
        <v>442.791135</v>
      </c>
      <c r="K219">
        <v>441.85200049999997</v>
      </c>
      <c r="L219" t="s">
        <v>128</v>
      </c>
      <c r="M219">
        <v>0</v>
      </c>
      <c r="N219">
        <v>441.048295</v>
      </c>
      <c r="O219">
        <v>440.1340525</v>
      </c>
      <c r="P219" t="s">
        <v>128</v>
      </c>
      <c r="Q219">
        <v>0</v>
      </c>
    </row>
    <row r="220" spans="1:17" x14ac:dyDescent="0.3">
      <c r="B220" t="s">
        <v>208</v>
      </c>
      <c r="E220">
        <v>524.15727000000004</v>
      </c>
      <c r="F220">
        <v>523.66882999999996</v>
      </c>
      <c r="G220">
        <v>522.97367250000002</v>
      </c>
      <c r="H220" t="s">
        <v>128</v>
      </c>
      <c r="I220">
        <v>0</v>
      </c>
      <c r="J220">
        <v>523.30241999999998</v>
      </c>
      <c r="K220">
        <v>522.66762900000003</v>
      </c>
      <c r="L220" t="s">
        <v>128</v>
      </c>
      <c r="M220">
        <v>0</v>
      </c>
      <c r="N220">
        <v>521.66019500000004</v>
      </c>
      <c r="O220">
        <v>519.72488350000003</v>
      </c>
      <c r="P220" t="s">
        <v>128</v>
      </c>
      <c r="Q220">
        <v>0</v>
      </c>
    </row>
    <row r="221" spans="1:17" x14ac:dyDescent="0.3">
      <c r="B221" t="s">
        <v>209</v>
      </c>
      <c r="E221">
        <v>142.13679999999999</v>
      </c>
      <c r="F221">
        <v>142.13679999999999</v>
      </c>
      <c r="G221">
        <v>142.13679999999999</v>
      </c>
      <c r="H221">
        <v>77.245749000000004</v>
      </c>
      <c r="I221">
        <v>10</v>
      </c>
      <c r="J221">
        <v>142.13679999999999</v>
      </c>
      <c r="K221">
        <v>142.13679999999999</v>
      </c>
      <c r="L221">
        <v>162.56751299999999</v>
      </c>
      <c r="M221">
        <v>10</v>
      </c>
      <c r="N221">
        <v>142.13679999999999</v>
      </c>
      <c r="O221">
        <v>141.838143</v>
      </c>
      <c r="P221">
        <v>382.72520300000002</v>
      </c>
      <c r="Q221">
        <v>2</v>
      </c>
    </row>
    <row r="222" spans="1:17" x14ac:dyDescent="0.3">
      <c r="B222" t="s">
        <v>210</v>
      </c>
      <c r="E222">
        <v>247.79705999999999</v>
      </c>
      <c r="F222">
        <v>247.79705999999999</v>
      </c>
      <c r="G222">
        <v>247.764287</v>
      </c>
      <c r="H222">
        <v>262.57560599999999</v>
      </c>
      <c r="I222">
        <v>9</v>
      </c>
      <c r="J222">
        <v>247.79705999999999</v>
      </c>
      <c r="K222">
        <v>247.37234599999999</v>
      </c>
      <c r="L222">
        <v>441.11107500000003</v>
      </c>
      <c r="M222">
        <v>2</v>
      </c>
      <c r="N222">
        <v>247.22667999999999</v>
      </c>
      <c r="O222">
        <v>246.23608100000001</v>
      </c>
      <c r="P222" t="s">
        <v>128</v>
      </c>
      <c r="Q222">
        <v>0</v>
      </c>
    </row>
    <row r="223" spans="1:17" x14ac:dyDescent="0.3">
      <c r="B223" t="s">
        <v>211</v>
      </c>
      <c r="E223">
        <v>336.30327499999999</v>
      </c>
      <c r="F223">
        <v>336.20999499999999</v>
      </c>
      <c r="G223">
        <v>335.76870300000002</v>
      </c>
      <c r="H223" t="s">
        <v>128</v>
      </c>
      <c r="I223">
        <v>0</v>
      </c>
      <c r="J223">
        <v>336.002995</v>
      </c>
      <c r="K223">
        <v>335.58889549999998</v>
      </c>
      <c r="L223" t="s">
        <v>128</v>
      </c>
      <c r="M223">
        <v>0</v>
      </c>
      <c r="N223">
        <v>334.91555499999998</v>
      </c>
      <c r="O223">
        <v>334.15950199999997</v>
      </c>
      <c r="P223" t="s">
        <v>128</v>
      </c>
      <c r="Q223">
        <v>0</v>
      </c>
    </row>
    <row r="224" spans="1:17" x14ac:dyDescent="0.3">
      <c r="B224" t="s">
        <v>212</v>
      </c>
      <c r="E224">
        <v>416.79459500000002</v>
      </c>
      <c r="F224">
        <v>416.27220499999999</v>
      </c>
      <c r="G224">
        <v>415.94323400000002</v>
      </c>
      <c r="H224" t="s">
        <v>128</v>
      </c>
      <c r="I224">
        <v>0</v>
      </c>
      <c r="J224">
        <v>416.102665</v>
      </c>
      <c r="K224">
        <v>415.65418099999999</v>
      </c>
      <c r="L224" t="s">
        <v>128</v>
      </c>
      <c r="M224">
        <v>0</v>
      </c>
      <c r="N224">
        <v>414.76477499999999</v>
      </c>
      <c r="O224">
        <v>413.29229850000002</v>
      </c>
      <c r="P224" t="s">
        <v>128</v>
      </c>
      <c r="Q224">
        <v>0</v>
      </c>
    </row>
    <row r="225" spans="2:17" x14ac:dyDescent="0.3">
      <c r="B225" t="s">
        <v>213</v>
      </c>
      <c r="E225">
        <v>488.81932499999999</v>
      </c>
      <c r="F225">
        <v>488.33002499999998</v>
      </c>
      <c r="G225">
        <v>487.58615800000001</v>
      </c>
      <c r="H225" t="s">
        <v>128</v>
      </c>
      <c r="I225">
        <v>0</v>
      </c>
      <c r="J225">
        <v>487.85524500000002</v>
      </c>
      <c r="K225">
        <v>487.26980500000002</v>
      </c>
      <c r="L225" t="s">
        <v>128</v>
      </c>
      <c r="M225">
        <v>0</v>
      </c>
      <c r="N225">
        <v>486.31861500000002</v>
      </c>
      <c r="O225">
        <v>485.23014699999999</v>
      </c>
      <c r="P225" t="s">
        <v>128</v>
      </c>
      <c r="Q225">
        <v>0</v>
      </c>
    </row>
    <row r="226" spans="2:17" x14ac:dyDescent="0.3">
      <c r="B226" t="s">
        <v>214</v>
      </c>
      <c r="E226">
        <v>160.60842</v>
      </c>
      <c r="F226">
        <v>160.60842</v>
      </c>
      <c r="G226">
        <v>160.606942</v>
      </c>
      <c r="H226">
        <v>235.740363</v>
      </c>
      <c r="I226">
        <v>8</v>
      </c>
      <c r="J226">
        <v>160.60842</v>
      </c>
      <c r="K226">
        <v>160.604725</v>
      </c>
      <c r="L226">
        <v>264.62970999999999</v>
      </c>
      <c r="M226">
        <v>5</v>
      </c>
      <c r="N226">
        <v>160.60103000000001</v>
      </c>
      <c r="O226">
        <v>159.960151</v>
      </c>
      <c r="P226" t="s">
        <v>128</v>
      </c>
      <c r="Q226">
        <v>0</v>
      </c>
    </row>
    <row r="227" spans="2:17" x14ac:dyDescent="0.3">
      <c r="B227" t="s">
        <v>215</v>
      </c>
      <c r="E227">
        <v>282.06218999999999</v>
      </c>
      <c r="F227">
        <v>281.72043000000002</v>
      </c>
      <c r="G227">
        <v>281.66035499999998</v>
      </c>
      <c r="H227" t="s">
        <v>128</v>
      </c>
      <c r="I227">
        <v>0</v>
      </c>
      <c r="J227">
        <v>281.72043000000002</v>
      </c>
      <c r="K227">
        <v>281.47792800000002</v>
      </c>
      <c r="L227" t="s">
        <v>128</v>
      </c>
      <c r="M227">
        <v>0</v>
      </c>
      <c r="N227">
        <v>281.52017999999998</v>
      </c>
      <c r="O227">
        <v>280.03666900000002</v>
      </c>
      <c r="P227" t="s">
        <v>128</v>
      </c>
      <c r="Q227">
        <v>0</v>
      </c>
    </row>
    <row r="228" spans="2:17" x14ac:dyDescent="0.3">
      <c r="B228" t="s">
        <v>216</v>
      </c>
      <c r="E228">
        <v>388.36351000000002</v>
      </c>
      <c r="F228">
        <v>388.08981999999997</v>
      </c>
      <c r="G228">
        <v>387.848029</v>
      </c>
      <c r="H228" t="s">
        <v>128</v>
      </c>
      <c r="I228">
        <v>0</v>
      </c>
      <c r="J228">
        <v>388.08981999999997</v>
      </c>
      <c r="K228">
        <v>387.79824600000001</v>
      </c>
      <c r="L228" t="s">
        <v>128</v>
      </c>
      <c r="M228">
        <v>0</v>
      </c>
      <c r="N228">
        <v>387.54728999999998</v>
      </c>
      <c r="O228">
        <v>386.78939400000002</v>
      </c>
      <c r="P228" t="s">
        <v>128</v>
      </c>
      <c r="Q228">
        <v>0</v>
      </c>
    </row>
    <row r="229" spans="2:17" x14ac:dyDescent="0.3">
      <c r="B229" t="s">
        <v>217</v>
      </c>
      <c r="E229">
        <v>483.96174999999999</v>
      </c>
      <c r="F229">
        <v>483.79468000000003</v>
      </c>
      <c r="G229">
        <v>483.32239399999997</v>
      </c>
      <c r="H229" t="s">
        <v>128</v>
      </c>
      <c r="I229">
        <v>0</v>
      </c>
      <c r="J229">
        <v>483.52258</v>
      </c>
      <c r="K229">
        <v>483.259883</v>
      </c>
      <c r="L229" t="s">
        <v>128</v>
      </c>
      <c r="M229">
        <v>0</v>
      </c>
      <c r="N229">
        <v>482.88404000000003</v>
      </c>
      <c r="O229">
        <v>481.77721400000001</v>
      </c>
      <c r="P229" t="s">
        <v>128</v>
      </c>
      <c r="Q229">
        <v>0</v>
      </c>
    </row>
    <row r="230" spans="2:17" x14ac:dyDescent="0.3">
      <c r="B230" t="s">
        <v>218</v>
      </c>
      <c r="E230">
        <v>572.51418999999999</v>
      </c>
      <c r="F230">
        <v>572.19226000000003</v>
      </c>
      <c r="G230">
        <v>571.67132200000003</v>
      </c>
      <c r="H230" t="s">
        <v>128</v>
      </c>
      <c r="I230">
        <v>0</v>
      </c>
      <c r="J230">
        <v>572.46717000000001</v>
      </c>
      <c r="K230">
        <v>571.36091099999999</v>
      </c>
      <c r="L230" t="s">
        <v>128</v>
      </c>
      <c r="M230">
        <v>0</v>
      </c>
      <c r="N230">
        <v>572.03687000000002</v>
      </c>
      <c r="O230">
        <v>568.97531900000001</v>
      </c>
      <c r="P230" t="s">
        <v>128</v>
      </c>
      <c r="Q230">
        <v>0</v>
      </c>
    </row>
    <row r="231" spans="2:17" x14ac:dyDescent="0.3">
      <c r="B231" t="s">
        <v>219</v>
      </c>
      <c r="E231">
        <v>156.42930999999999</v>
      </c>
      <c r="F231">
        <v>156.42930999999999</v>
      </c>
      <c r="G231">
        <v>156.42930999999999</v>
      </c>
      <c r="H231">
        <v>11.078799999999999</v>
      </c>
      <c r="I231">
        <v>10</v>
      </c>
      <c r="J231">
        <v>156.42930999999999</v>
      </c>
      <c r="K231">
        <v>156.42930999999999</v>
      </c>
      <c r="L231">
        <v>26.421292000000001</v>
      </c>
      <c r="M231">
        <v>10</v>
      </c>
      <c r="N231">
        <v>156.42930999999999</v>
      </c>
      <c r="O231">
        <v>156.11407399999999</v>
      </c>
      <c r="P231">
        <v>137.006743</v>
      </c>
      <c r="Q231">
        <v>6</v>
      </c>
    </row>
    <row r="232" spans="2:17" x14ac:dyDescent="0.3">
      <c r="B232" t="s">
        <v>220</v>
      </c>
      <c r="E232">
        <v>266.12285000000003</v>
      </c>
      <c r="F232">
        <v>266.12285000000003</v>
      </c>
      <c r="G232">
        <v>266.06380799999999</v>
      </c>
      <c r="H232">
        <v>119.670298</v>
      </c>
      <c r="I232">
        <v>3</v>
      </c>
      <c r="J232">
        <v>266.12285000000003</v>
      </c>
      <c r="K232">
        <v>265.96122300000002</v>
      </c>
      <c r="L232">
        <v>318.34508699999998</v>
      </c>
      <c r="M232">
        <v>3</v>
      </c>
      <c r="N232">
        <v>265.73390000000001</v>
      </c>
      <c r="O232">
        <v>264.77069799999998</v>
      </c>
      <c r="P232" t="s">
        <v>128</v>
      </c>
      <c r="Q232">
        <v>0</v>
      </c>
    </row>
    <row r="233" spans="2:17" x14ac:dyDescent="0.3">
      <c r="B233" t="s">
        <v>221</v>
      </c>
      <c r="E233">
        <v>361.99662999999998</v>
      </c>
      <c r="F233">
        <v>361.99662999999998</v>
      </c>
      <c r="G233">
        <v>361.81833999999998</v>
      </c>
      <c r="H233">
        <v>111.987189</v>
      </c>
      <c r="I233">
        <v>3</v>
      </c>
      <c r="J233">
        <v>361.79851000000002</v>
      </c>
      <c r="K233">
        <v>361.43741199999999</v>
      </c>
      <c r="L233" t="s">
        <v>128</v>
      </c>
      <c r="M233">
        <v>0</v>
      </c>
      <c r="N233">
        <v>361.34634999999997</v>
      </c>
      <c r="O233">
        <v>359.970889</v>
      </c>
      <c r="P233" t="s">
        <v>128</v>
      </c>
      <c r="Q233">
        <v>0</v>
      </c>
    </row>
    <row r="234" spans="2:17" x14ac:dyDescent="0.3">
      <c r="B234" t="s">
        <v>222</v>
      </c>
      <c r="E234">
        <v>446.8252</v>
      </c>
      <c r="F234">
        <v>446.82528000000002</v>
      </c>
      <c r="G234">
        <v>446.34005000000002</v>
      </c>
      <c r="H234">
        <v>596.013957</v>
      </c>
      <c r="I234">
        <v>1</v>
      </c>
      <c r="J234">
        <v>446.73863</v>
      </c>
      <c r="K234">
        <v>446.12724200000002</v>
      </c>
      <c r="L234" t="s">
        <v>128</v>
      </c>
      <c r="M234">
        <v>0</v>
      </c>
      <c r="N234">
        <v>445.80025999999998</v>
      </c>
      <c r="O234">
        <v>444.37427700000001</v>
      </c>
      <c r="P234" t="s">
        <v>128</v>
      </c>
      <c r="Q234">
        <v>0</v>
      </c>
    </row>
    <row r="235" spans="2:17" x14ac:dyDescent="0.3">
      <c r="B235" t="s">
        <v>223</v>
      </c>
      <c r="E235">
        <v>523.84563000000003</v>
      </c>
      <c r="F235">
        <v>523.09640000000002</v>
      </c>
      <c r="G235">
        <v>522.83173299999999</v>
      </c>
      <c r="H235" t="s">
        <v>128</v>
      </c>
      <c r="I235">
        <v>0</v>
      </c>
      <c r="J235">
        <v>523.00418999999999</v>
      </c>
      <c r="K235">
        <v>522.63775799999996</v>
      </c>
      <c r="L235" t="s">
        <v>128</v>
      </c>
      <c r="M235">
        <v>0</v>
      </c>
      <c r="N235">
        <v>521.80476999999996</v>
      </c>
      <c r="O235">
        <v>521.13434099999995</v>
      </c>
      <c r="P235" t="s">
        <v>128</v>
      </c>
      <c r="Q235">
        <v>0</v>
      </c>
    </row>
    <row r="236" spans="2:17" x14ac:dyDescent="0.3">
      <c r="B236" t="s">
        <v>224</v>
      </c>
      <c r="E236">
        <v>129.36341999999999</v>
      </c>
      <c r="F236">
        <v>128.98062999999999</v>
      </c>
      <c r="G236">
        <v>128.95377999999999</v>
      </c>
      <c r="H236" t="s">
        <v>128</v>
      </c>
      <c r="I236">
        <v>0</v>
      </c>
      <c r="J236">
        <v>128.98062999999999</v>
      </c>
      <c r="K236">
        <v>128.852859</v>
      </c>
      <c r="L236" t="s">
        <v>128</v>
      </c>
      <c r="M236">
        <v>0</v>
      </c>
      <c r="N236">
        <v>128.59845000000001</v>
      </c>
      <c r="O236">
        <v>128.06054499999999</v>
      </c>
      <c r="P236" t="s">
        <v>128</v>
      </c>
      <c r="Q236">
        <v>0</v>
      </c>
    </row>
    <row r="237" spans="2:17" x14ac:dyDescent="0.3">
      <c r="B237" t="s">
        <v>225</v>
      </c>
      <c r="E237">
        <v>238.34729999999999</v>
      </c>
      <c r="F237">
        <v>238.34729999999999</v>
      </c>
      <c r="G237">
        <v>238.07180700000001</v>
      </c>
      <c r="H237">
        <v>205.04468900000001</v>
      </c>
      <c r="I237">
        <v>4</v>
      </c>
      <c r="J237">
        <v>238.34729999999999</v>
      </c>
      <c r="K237">
        <v>238.14630399999999</v>
      </c>
      <c r="L237">
        <v>237.356886</v>
      </c>
      <c r="M237">
        <v>3</v>
      </c>
      <c r="N237">
        <v>237.54677000000001</v>
      </c>
      <c r="O237">
        <v>236.49893499999999</v>
      </c>
      <c r="P237" t="s">
        <v>128</v>
      </c>
      <c r="Q237">
        <v>0</v>
      </c>
    </row>
    <row r="238" spans="2:17" x14ac:dyDescent="0.3">
      <c r="B238" t="s">
        <v>226</v>
      </c>
      <c r="E238">
        <v>337.32862</v>
      </c>
      <c r="F238">
        <v>337.03320000000002</v>
      </c>
      <c r="G238">
        <v>336.51427200000001</v>
      </c>
      <c r="H238" t="s">
        <v>128</v>
      </c>
      <c r="I238">
        <v>0</v>
      </c>
      <c r="J238">
        <v>336.61140999999998</v>
      </c>
      <c r="K238">
        <v>335.89344399999999</v>
      </c>
      <c r="L238" t="s">
        <v>128</v>
      </c>
      <c r="M238">
        <v>0</v>
      </c>
      <c r="N238">
        <v>336.12858999999997</v>
      </c>
      <c r="O238">
        <v>334.726405</v>
      </c>
      <c r="P238" t="s">
        <v>128</v>
      </c>
      <c r="Q238">
        <v>0</v>
      </c>
    </row>
    <row r="239" spans="2:17" x14ac:dyDescent="0.3">
      <c r="B239" t="s">
        <v>227</v>
      </c>
      <c r="E239">
        <v>428.81319999999999</v>
      </c>
      <c r="F239">
        <v>428.63601999999997</v>
      </c>
      <c r="G239">
        <v>428.404901</v>
      </c>
      <c r="H239" t="s">
        <v>128</v>
      </c>
      <c r="I239">
        <v>0</v>
      </c>
      <c r="J239">
        <v>428.54791</v>
      </c>
      <c r="K239">
        <v>428.188534</v>
      </c>
      <c r="L239" t="s">
        <v>128</v>
      </c>
      <c r="M239">
        <v>0</v>
      </c>
      <c r="N239">
        <v>428.00828000000001</v>
      </c>
      <c r="O239">
        <v>426.752251</v>
      </c>
      <c r="P239" t="s">
        <v>128</v>
      </c>
      <c r="Q239">
        <v>0</v>
      </c>
    </row>
    <row r="240" spans="2:17" x14ac:dyDescent="0.3">
      <c r="B240" t="s">
        <v>228</v>
      </c>
      <c r="E240">
        <v>511.22753</v>
      </c>
      <c r="F240">
        <v>510.80227000000002</v>
      </c>
      <c r="G240">
        <v>510.67252300000001</v>
      </c>
      <c r="H240" t="s">
        <v>128</v>
      </c>
      <c r="I240">
        <v>0</v>
      </c>
      <c r="J240">
        <v>511.00344999999999</v>
      </c>
      <c r="K240">
        <v>510.60558900000001</v>
      </c>
      <c r="L240" t="s">
        <v>128</v>
      </c>
      <c r="M240">
        <v>0</v>
      </c>
      <c r="N240">
        <v>510.95553999999998</v>
      </c>
      <c r="O240">
        <v>508.85727000000003</v>
      </c>
      <c r="P240" t="s">
        <v>128</v>
      </c>
      <c r="Q240">
        <v>0</v>
      </c>
    </row>
    <row r="241" spans="2:17" x14ac:dyDescent="0.3">
      <c r="B241" t="s">
        <v>229</v>
      </c>
      <c r="E241">
        <v>147.21297999999999</v>
      </c>
      <c r="F241">
        <v>147.21297999999999</v>
      </c>
      <c r="G241">
        <v>147.21297999999999</v>
      </c>
      <c r="H241">
        <v>52.177975000000004</v>
      </c>
      <c r="I241">
        <v>10</v>
      </c>
      <c r="J241">
        <v>147.21297999999999</v>
      </c>
      <c r="K241">
        <v>147.21297999999999</v>
      </c>
      <c r="L241">
        <v>95.005437999999998</v>
      </c>
      <c r="M241">
        <v>10</v>
      </c>
      <c r="N241">
        <v>147.21297999999999</v>
      </c>
      <c r="O241">
        <v>147.00932599999999</v>
      </c>
      <c r="P241">
        <v>41.835512000000001</v>
      </c>
      <c r="Q241">
        <v>2</v>
      </c>
    </row>
    <row r="242" spans="2:17" x14ac:dyDescent="0.3">
      <c r="B242" t="s">
        <v>230</v>
      </c>
      <c r="E242">
        <v>256.88351</v>
      </c>
      <c r="F242">
        <v>256.86662000000001</v>
      </c>
      <c r="G242">
        <v>256.75931800000001</v>
      </c>
      <c r="H242" t="s">
        <v>128</v>
      </c>
      <c r="I242">
        <v>0</v>
      </c>
      <c r="J242">
        <v>256.86662000000001</v>
      </c>
      <c r="K242">
        <v>256.73665</v>
      </c>
      <c r="L242" t="s">
        <v>128</v>
      </c>
      <c r="M242">
        <v>0</v>
      </c>
      <c r="N242">
        <v>256.74011999999999</v>
      </c>
      <c r="O242">
        <v>256.19548900000001</v>
      </c>
      <c r="P242" t="s">
        <v>128</v>
      </c>
      <c r="Q242">
        <v>0</v>
      </c>
    </row>
    <row r="243" spans="2:17" x14ac:dyDescent="0.3">
      <c r="B243" t="s">
        <v>231</v>
      </c>
      <c r="E243">
        <v>351.50053000000003</v>
      </c>
      <c r="F243">
        <v>351.33445999999998</v>
      </c>
      <c r="G243">
        <v>350.905869</v>
      </c>
      <c r="H243" t="s">
        <v>128</v>
      </c>
      <c r="I243">
        <v>0</v>
      </c>
      <c r="J243">
        <v>351.46634999999998</v>
      </c>
      <c r="K243">
        <v>350.78285899999997</v>
      </c>
      <c r="L243" t="s">
        <v>128</v>
      </c>
      <c r="M243">
        <v>0</v>
      </c>
      <c r="N243">
        <v>350.99533000000002</v>
      </c>
      <c r="O243">
        <v>348.76942000000003</v>
      </c>
      <c r="P243" t="s">
        <v>128</v>
      </c>
      <c r="Q243">
        <v>0</v>
      </c>
    </row>
    <row r="244" spans="2:17" x14ac:dyDescent="0.3">
      <c r="B244" t="s">
        <v>232</v>
      </c>
      <c r="E244">
        <v>438.72872999999998</v>
      </c>
      <c r="F244">
        <v>438.06227999999999</v>
      </c>
      <c r="G244">
        <v>437.84418299999999</v>
      </c>
      <c r="H244" t="s">
        <v>128</v>
      </c>
      <c r="I244">
        <v>0</v>
      </c>
      <c r="J244">
        <v>438.13022999999998</v>
      </c>
      <c r="K244">
        <v>437.39938000000001</v>
      </c>
      <c r="L244" t="s">
        <v>128</v>
      </c>
      <c r="M244">
        <v>0</v>
      </c>
      <c r="N244">
        <v>437.17075999999997</v>
      </c>
      <c r="O244">
        <v>435.66124600000001</v>
      </c>
      <c r="P244" t="s">
        <v>128</v>
      </c>
      <c r="Q244">
        <v>0</v>
      </c>
    </row>
    <row r="245" spans="2:17" x14ac:dyDescent="0.3">
      <c r="B245" t="s">
        <v>233</v>
      </c>
      <c r="E245">
        <v>520.36280999999997</v>
      </c>
      <c r="F245">
        <v>520.26702999999998</v>
      </c>
      <c r="G245">
        <v>519.733969</v>
      </c>
      <c r="H245" t="s">
        <v>128</v>
      </c>
      <c r="I245">
        <v>0</v>
      </c>
      <c r="J245">
        <v>520.27765999999997</v>
      </c>
      <c r="K245">
        <v>519.53126899999995</v>
      </c>
      <c r="L245" t="s">
        <v>128</v>
      </c>
      <c r="M245">
        <v>0</v>
      </c>
      <c r="N245">
        <v>518.04589999999996</v>
      </c>
      <c r="O245">
        <v>516.18667600000003</v>
      </c>
      <c r="P245" t="s">
        <v>128</v>
      </c>
      <c r="Q245">
        <v>0</v>
      </c>
    </row>
    <row r="246" spans="2:17" x14ac:dyDescent="0.3">
      <c r="B246" t="s">
        <v>234</v>
      </c>
      <c r="E246">
        <v>140.00452999999999</v>
      </c>
      <c r="F246">
        <v>140.00452999999999</v>
      </c>
      <c r="G246">
        <v>140.00318799999999</v>
      </c>
      <c r="H246">
        <v>235.01566099999999</v>
      </c>
      <c r="I246">
        <v>9</v>
      </c>
      <c r="J246">
        <v>140.00452999999999</v>
      </c>
      <c r="K246">
        <v>139.98248899999999</v>
      </c>
      <c r="L246">
        <v>30.257877000000001</v>
      </c>
      <c r="M246">
        <v>5</v>
      </c>
      <c r="N246">
        <v>139.85902999999999</v>
      </c>
      <c r="O246">
        <v>139.584091</v>
      </c>
      <c r="P246" t="s">
        <v>128</v>
      </c>
      <c r="Q246">
        <v>0</v>
      </c>
    </row>
    <row r="247" spans="2:17" x14ac:dyDescent="0.3">
      <c r="B247" t="s">
        <v>235</v>
      </c>
      <c r="E247">
        <v>247.84585000000001</v>
      </c>
      <c r="F247">
        <v>247.84585000000001</v>
      </c>
      <c r="G247">
        <v>247.77407299999999</v>
      </c>
      <c r="H247">
        <v>313.34479299999998</v>
      </c>
      <c r="I247">
        <v>3</v>
      </c>
      <c r="J247">
        <v>247.79633000000001</v>
      </c>
      <c r="K247">
        <v>247.666764</v>
      </c>
      <c r="L247" t="s">
        <v>128</v>
      </c>
      <c r="M247">
        <v>0</v>
      </c>
      <c r="N247">
        <v>247.02727999999999</v>
      </c>
      <c r="O247">
        <v>246.635277</v>
      </c>
      <c r="P247" t="s">
        <v>128</v>
      </c>
      <c r="Q247">
        <v>0</v>
      </c>
    </row>
    <row r="248" spans="2:17" x14ac:dyDescent="0.3">
      <c r="B248" t="s">
        <v>236</v>
      </c>
      <c r="E248">
        <v>338.79363000000001</v>
      </c>
      <c r="F248">
        <v>338.75063999999998</v>
      </c>
      <c r="G248">
        <v>338.430725</v>
      </c>
      <c r="H248" t="s">
        <v>128</v>
      </c>
      <c r="I248">
        <v>0</v>
      </c>
      <c r="J248">
        <v>338.79363000000001</v>
      </c>
      <c r="K248">
        <v>338.22920699999997</v>
      </c>
      <c r="L248">
        <v>546.84257600000001</v>
      </c>
      <c r="M248">
        <v>1</v>
      </c>
      <c r="N248">
        <v>337.65530999999999</v>
      </c>
      <c r="O248">
        <v>336.68289299999998</v>
      </c>
      <c r="P248" t="s">
        <v>128</v>
      </c>
      <c r="Q248">
        <v>0</v>
      </c>
    </row>
    <row r="249" spans="2:17" x14ac:dyDescent="0.3">
      <c r="B249" t="s">
        <v>237</v>
      </c>
      <c r="E249">
        <v>419.41752000000002</v>
      </c>
      <c r="F249">
        <v>419.15758</v>
      </c>
      <c r="G249">
        <v>418.46495900000002</v>
      </c>
      <c r="H249" t="s">
        <v>128</v>
      </c>
      <c r="I249">
        <v>0</v>
      </c>
      <c r="J249">
        <v>418.84773000000001</v>
      </c>
      <c r="K249">
        <v>418.197271</v>
      </c>
      <c r="L249" t="s">
        <v>128</v>
      </c>
      <c r="M249">
        <v>0</v>
      </c>
      <c r="N249">
        <v>417.62419999999997</v>
      </c>
      <c r="O249">
        <v>416.43795</v>
      </c>
      <c r="P249" t="s">
        <v>128</v>
      </c>
      <c r="Q249">
        <v>0</v>
      </c>
    </row>
    <row r="250" spans="2:17" x14ac:dyDescent="0.3">
      <c r="B250" t="s">
        <v>238</v>
      </c>
      <c r="E250">
        <v>494.06198999999998</v>
      </c>
      <c r="F250">
        <v>493.34316000000001</v>
      </c>
      <c r="G250">
        <v>492.68176199999999</v>
      </c>
      <c r="H250" t="s">
        <v>128</v>
      </c>
      <c r="I250">
        <v>0</v>
      </c>
      <c r="J250">
        <v>493.05365999999998</v>
      </c>
      <c r="K250">
        <v>492.53916299999997</v>
      </c>
      <c r="L250" t="s">
        <v>128</v>
      </c>
      <c r="M250">
        <v>0</v>
      </c>
      <c r="N250">
        <v>492.62225000000001</v>
      </c>
      <c r="O250">
        <v>491.09203400000001</v>
      </c>
      <c r="P250" t="s">
        <v>128</v>
      </c>
      <c r="Q250">
        <v>0</v>
      </c>
    </row>
    <row r="251" spans="2:17" x14ac:dyDescent="0.3">
      <c r="B251" t="s">
        <v>239</v>
      </c>
      <c r="E251">
        <v>161.7431</v>
      </c>
      <c r="F251">
        <v>161.7431</v>
      </c>
      <c r="G251">
        <v>161.7431</v>
      </c>
      <c r="H251">
        <v>2.4324499999999998</v>
      </c>
      <c r="I251">
        <v>10</v>
      </c>
      <c r="J251">
        <v>161.7431</v>
      </c>
      <c r="K251">
        <v>161.7431</v>
      </c>
      <c r="L251">
        <v>22.626501999999999</v>
      </c>
      <c r="M251">
        <v>10</v>
      </c>
      <c r="N251">
        <v>161.7431</v>
      </c>
      <c r="O251">
        <v>161.27316200000001</v>
      </c>
      <c r="P251">
        <v>157.71454700000001</v>
      </c>
      <c r="Q251">
        <v>5</v>
      </c>
    </row>
    <row r="252" spans="2:17" x14ac:dyDescent="0.3">
      <c r="B252" t="s">
        <v>240</v>
      </c>
      <c r="E252">
        <v>285.37745999999999</v>
      </c>
      <c r="F252">
        <v>285.37745999999999</v>
      </c>
      <c r="G252">
        <v>285.26225799999997</v>
      </c>
      <c r="H252">
        <v>185.55851999999999</v>
      </c>
      <c r="I252">
        <v>5</v>
      </c>
      <c r="J252">
        <v>285.37745999999999</v>
      </c>
      <c r="K252">
        <v>285.21832599999999</v>
      </c>
      <c r="L252">
        <v>228.802593</v>
      </c>
      <c r="M252">
        <v>4</v>
      </c>
      <c r="N252">
        <v>285.37745999999999</v>
      </c>
      <c r="O252">
        <v>284.149855</v>
      </c>
      <c r="P252">
        <v>23.525722999999999</v>
      </c>
      <c r="Q252">
        <v>1</v>
      </c>
    </row>
    <row r="253" spans="2:17" x14ac:dyDescent="0.3">
      <c r="B253" t="s">
        <v>241</v>
      </c>
      <c r="E253">
        <v>390.66397000000001</v>
      </c>
      <c r="F253">
        <v>390.04631999999998</v>
      </c>
      <c r="G253">
        <v>389.83342199999998</v>
      </c>
      <c r="H253" t="s">
        <v>128</v>
      </c>
      <c r="I253">
        <v>0</v>
      </c>
      <c r="J253">
        <v>390.01414</v>
      </c>
      <c r="K253">
        <v>389.79047800000001</v>
      </c>
      <c r="L253" t="s">
        <v>128</v>
      </c>
      <c r="M253">
        <v>0</v>
      </c>
      <c r="N253">
        <v>389.64724999999999</v>
      </c>
      <c r="O253">
        <v>388.60809399999999</v>
      </c>
      <c r="P253" t="s">
        <v>128</v>
      </c>
      <c r="Q253">
        <v>0</v>
      </c>
    </row>
    <row r="254" spans="2:17" x14ac:dyDescent="0.3">
      <c r="B254" t="s">
        <v>242</v>
      </c>
      <c r="E254">
        <v>485.51931999999999</v>
      </c>
      <c r="F254">
        <v>485.33156000000002</v>
      </c>
      <c r="G254">
        <v>484.76734699999997</v>
      </c>
      <c r="H254" t="s">
        <v>128</v>
      </c>
      <c r="I254">
        <v>0</v>
      </c>
      <c r="J254">
        <v>484.97233999999997</v>
      </c>
      <c r="K254">
        <v>484.55212399999999</v>
      </c>
      <c r="L254" t="s">
        <v>128</v>
      </c>
      <c r="M254">
        <v>0</v>
      </c>
      <c r="N254">
        <v>484.56376999999998</v>
      </c>
      <c r="O254">
        <v>482.346182</v>
      </c>
      <c r="P254" t="s">
        <v>128</v>
      </c>
      <c r="Q254">
        <v>0</v>
      </c>
    </row>
    <row r="255" spans="2:17" x14ac:dyDescent="0.3">
      <c r="B255" t="s">
        <v>243</v>
      </c>
      <c r="E255">
        <v>572.19514000000004</v>
      </c>
      <c r="F255">
        <v>571.62747999999999</v>
      </c>
      <c r="G255">
        <v>571.21623199999999</v>
      </c>
      <c r="H255" t="s">
        <v>128</v>
      </c>
      <c r="I255">
        <v>0</v>
      </c>
      <c r="J255">
        <v>571.40179999999998</v>
      </c>
      <c r="K255">
        <v>570.94104700000003</v>
      </c>
      <c r="L255" t="s">
        <v>128</v>
      </c>
      <c r="M255">
        <v>0</v>
      </c>
      <c r="N255">
        <v>570.81723999999997</v>
      </c>
      <c r="O255">
        <v>569.23159099999998</v>
      </c>
      <c r="P255" t="s">
        <v>128</v>
      </c>
      <c r="Q255">
        <v>0</v>
      </c>
    </row>
    <row r="256" spans="2:17" x14ac:dyDescent="0.3">
      <c r="B256" t="s">
        <v>244</v>
      </c>
      <c r="E256">
        <v>147.46025</v>
      </c>
      <c r="F256">
        <v>147.46025</v>
      </c>
      <c r="G256">
        <v>147.46025</v>
      </c>
      <c r="H256">
        <v>6.3975499999999998</v>
      </c>
      <c r="I256">
        <v>10</v>
      </c>
      <c r="J256">
        <v>147.46025</v>
      </c>
      <c r="K256">
        <v>147.46025</v>
      </c>
      <c r="L256">
        <v>19.483156000000001</v>
      </c>
      <c r="M256">
        <v>10</v>
      </c>
      <c r="N256">
        <v>147.46025</v>
      </c>
      <c r="O256">
        <v>147.33750499999999</v>
      </c>
      <c r="P256">
        <v>290.80243999999999</v>
      </c>
      <c r="Q256">
        <v>9</v>
      </c>
    </row>
    <row r="257" spans="1:17" x14ac:dyDescent="0.3">
      <c r="B257" t="s">
        <v>245</v>
      </c>
      <c r="E257">
        <v>256.29746</v>
      </c>
      <c r="F257">
        <v>256.29746</v>
      </c>
      <c r="G257">
        <v>256.073464</v>
      </c>
      <c r="H257">
        <v>333.66522900000001</v>
      </c>
      <c r="I257">
        <v>1</v>
      </c>
      <c r="J257">
        <v>256.26411000000002</v>
      </c>
      <c r="K257">
        <v>256.10753599999998</v>
      </c>
      <c r="L257" t="s">
        <v>128</v>
      </c>
      <c r="M257">
        <v>0</v>
      </c>
      <c r="N257">
        <v>255.58998</v>
      </c>
      <c r="O257">
        <v>255.197836</v>
      </c>
      <c r="P257" t="s">
        <v>128</v>
      </c>
      <c r="Q257">
        <v>0</v>
      </c>
    </row>
    <row r="258" spans="1:17" x14ac:dyDescent="0.3">
      <c r="B258" t="s">
        <v>246</v>
      </c>
      <c r="E258">
        <v>350.39949999999999</v>
      </c>
      <c r="F258">
        <v>350.32708000000002</v>
      </c>
      <c r="G258">
        <v>350.01080300000001</v>
      </c>
      <c r="H258" t="s">
        <v>128</v>
      </c>
      <c r="I258">
        <v>0</v>
      </c>
      <c r="J258">
        <v>350.32708000000002</v>
      </c>
      <c r="K258">
        <v>349.864958</v>
      </c>
      <c r="L258" t="s">
        <v>128</v>
      </c>
      <c r="M258">
        <v>0</v>
      </c>
      <c r="N258">
        <v>349.73532</v>
      </c>
      <c r="O258">
        <v>349.04801700000002</v>
      </c>
      <c r="P258" t="s">
        <v>128</v>
      </c>
      <c r="Q258">
        <v>0</v>
      </c>
    </row>
    <row r="259" spans="1:17" x14ac:dyDescent="0.3">
      <c r="B259" t="s">
        <v>247</v>
      </c>
      <c r="E259">
        <v>435.43218000000002</v>
      </c>
      <c r="F259">
        <v>435.20013</v>
      </c>
      <c r="G259">
        <v>434.92511000000002</v>
      </c>
      <c r="H259" t="s">
        <v>128</v>
      </c>
      <c r="I259">
        <v>0</v>
      </c>
      <c r="J259">
        <v>435.43218000000002</v>
      </c>
      <c r="K259">
        <v>434.75385499999999</v>
      </c>
      <c r="L259">
        <v>147.834518</v>
      </c>
      <c r="M259">
        <v>1</v>
      </c>
      <c r="N259">
        <v>434.22235000000001</v>
      </c>
      <c r="O259">
        <v>433.03104999999999</v>
      </c>
      <c r="P259" t="s">
        <v>128</v>
      </c>
      <c r="Q259">
        <v>0</v>
      </c>
    </row>
    <row r="260" spans="1:17" x14ac:dyDescent="0.3">
      <c r="B260" t="s">
        <v>248</v>
      </c>
      <c r="E260">
        <v>512.72307999999998</v>
      </c>
      <c r="F260">
        <v>512.09127000000001</v>
      </c>
      <c r="G260">
        <v>511.74586399999998</v>
      </c>
      <c r="H260" t="s">
        <v>128</v>
      </c>
      <c r="I260">
        <v>0</v>
      </c>
      <c r="J260">
        <v>511.81382000000002</v>
      </c>
      <c r="K260">
        <v>511.57175799999999</v>
      </c>
      <c r="L260" t="s">
        <v>128</v>
      </c>
      <c r="M260">
        <v>0</v>
      </c>
      <c r="N260">
        <v>511.02575999999999</v>
      </c>
      <c r="O260">
        <v>509.76804600000003</v>
      </c>
      <c r="P260" t="s">
        <v>128</v>
      </c>
      <c r="Q260">
        <v>0</v>
      </c>
    </row>
    <row r="261" spans="1:17" x14ac:dyDescent="0.3">
      <c r="B261" t="s">
        <v>249</v>
      </c>
      <c r="E261">
        <v>145.03611000000001</v>
      </c>
      <c r="F261">
        <v>145.03611000000001</v>
      </c>
      <c r="G261">
        <v>145.03611000000001</v>
      </c>
      <c r="H261">
        <v>36.480849999999997</v>
      </c>
      <c r="I261">
        <v>10</v>
      </c>
      <c r="J261">
        <v>145.03611000000001</v>
      </c>
      <c r="K261">
        <v>145.03611000000001</v>
      </c>
      <c r="L261">
        <v>134.377476</v>
      </c>
      <c r="M261">
        <v>10</v>
      </c>
      <c r="N261">
        <v>145.01374000000001</v>
      </c>
      <c r="O261">
        <v>144.84239199999999</v>
      </c>
      <c r="P261" t="s">
        <v>128</v>
      </c>
      <c r="Q261">
        <v>0</v>
      </c>
    </row>
    <row r="262" spans="1:17" x14ac:dyDescent="0.3">
      <c r="B262" t="s">
        <v>250</v>
      </c>
      <c r="E262">
        <v>257.40258999999998</v>
      </c>
      <c r="F262">
        <v>257.20328999999998</v>
      </c>
      <c r="G262">
        <v>257.04373700000002</v>
      </c>
      <c r="H262" t="s">
        <v>128</v>
      </c>
      <c r="I262">
        <v>0</v>
      </c>
      <c r="J262">
        <v>257.22154999999998</v>
      </c>
      <c r="K262">
        <v>257.00484999999998</v>
      </c>
      <c r="L262" t="s">
        <v>128</v>
      </c>
      <c r="M262">
        <v>0</v>
      </c>
      <c r="N262">
        <v>257.40258999999998</v>
      </c>
      <c r="O262">
        <v>256.00896699999998</v>
      </c>
      <c r="P262">
        <v>29.997563</v>
      </c>
      <c r="Q262">
        <v>1</v>
      </c>
    </row>
    <row r="263" spans="1:17" x14ac:dyDescent="0.3">
      <c r="B263" t="s">
        <v>251</v>
      </c>
      <c r="E263">
        <v>356.18635999999998</v>
      </c>
      <c r="F263">
        <v>355.12070999999997</v>
      </c>
      <c r="G263">
        <v>354.65760599999999</v>
      </c>
      <c r="H263" t="s">
        <v>128</v>
      </c>
      <c r="I263">
        <v>0</v>
      </c>
      <c r="J263">
        <v>355.41</v>
      </c>
      <c r="K263">
        <v>354.58456100000001</v>
      </c>
      <c r="L263" t="s">
        <v>128</v>
      </c>
      <c r="M263">
        <v>0</v>
      </c>
      <c r="N263">
        <v>353.59521999999998</v>
      </c>
      <c r="O263">
        <v>352.36988600000001</v>
      </c>
      <c r="P263" t="s">
        <v>128</v>
      </c>
      <c r="Q263">
        <v>0</v>
      </c>
    </row>
    <row r="264" spans="1:17" x14ac:dyDescent="0.3">
      <c r="B264" t="s">
        <v>252</v>
      </c>
      <c r="E264">
        <v>447.37688000000003</v>
      </c>
      <c r="F264">
        <v>446.36997000000002</v>
      </c>
      <c r="G264">
        <v>445.81324599999999</v>
      </c>
      <c r="H264" t="s">
        <v>128</v>
      </c>
      <c r="I264">
        <v>0</v>
      </c>
      <c r="J264">
        <v>446.16264000000001</v>
      </c>
      <c r="K264">
        <v>445.43728599999997</v>
      </c>
      <c r="L264" t="s">
        <v>128</v>
      </c>
      <c r="M264">
        <v>0</v>
      </c>
      <c r="N264">
        <v>444.86962</v>
      </c>
      <c r="O264">
        <v>443.69516900000002</v>
      </c>
      <c r="P264" t="s">
        <v>128</v>
      </c>
      <c r="Q264">
        <v>0</v>
      </c>
    </row>
    <row r="265" spans="1:17" x14ac:dyDescent="0.3">
      <c r="B265" t="s">
        <v>253</v>
      </c>
      <c r="E265">
        <v>533.20168999999999</v>
      </c>
      <c r="F265">
        <v>532.25671999999997</v>
      </c>
      <c r="G265">
        <v>531.94391900000005</v>
      </c>
      <c r="H265" t="s">
        <v>128</v>
      </c>
      <c r="I265">
        <v>0</v>
      </c>
      <c r="J265">
        <v>532.27925000000005</v>
      </c>
      <c r="K265">
        <v>531.54029200000002</v>
      </c>
      <c r="L265" t="s">
        <v>128</v>
      </c>
      <c r="M265">
        <v>0</v>
      </c>
      <c r="N265">
        <v>532.14554999999996</v>
      </c>
      <c r="O265">
        <v>529.43043799999998</v>
      </c>
      <c r="P265" t="s">
        <v>128</v>
      </c>
      <c r="Q265">
        <v>0</v>
      </c>
    </row>
    <row r="266" spans="1:17" x14ac:dyDescent="0.3">
      <c r="A266" t="s">
        <v>356</v>
      </c>
      <c r="F266" s="6">
        <f t="array" ref="F266">AVERAGE((E216:E265-F216:F265)/E216:E265)</f>
        <v>6.1585130533934576E-4</v>
      </c>
      <c r="G266" s="7">
        <f t="array" ref="G266">AVERAGE((E216:E265-G216:G265)/E216:E265)</f>
        <v>1.2852017821194444E-3</v>
      </c>
      <c r="I266" s="1">
        <f>SUM(I216:I265)</f>
        <v>114</v>
      </c>
      <c r="J266" s="6">
        <f t="array" ref="J266">AVERAGE((E216:E265-J216:J265)/E216:E265)</f>
        <v>7.5531230330612268E-4</v>
      </c>
      <c r="K266" s="7">
        <f t="array" ref="K266">AVERAGE((E216:E265-K216:K265)/E216:E265)</f>
        <v>1.6964780735644501E-3</v>
      </c>
      <c r="M266" s="1">
        <f>SUM(M216:M265)</f>
        <v>89</v>
      </c>
      <c r="N266" s="6">
        <f t="array" ref="N266">AVERAGE((E216:E265-N216:N265)/E216:E265)</f>
        <v>2.3418638614698521E-3</v>
      </c>
      <c r="O266" s="7">
        <f t="array" ref="O266">AVERAGE((E216:E265-O216:O265)/E216:E265)</f>
        <v>5.541002990379751E-3</v>
      </c>
      <c r="Q266" s="1">
        <f>SUM(Q216:Q265)</f>
        <v>27</v>
      </c>
    </row>
    <row r="267" spans="1:17" x14ac:dyDescent="0.3">
      <c r="A267" t="s">
        <v>372</v>
      </c>
      <c r="B267" t="s">
        <v>268</v>
      </c>
      <c r="E267">
        <v>870</v>
      </c>
      <c r="F267">
        <v>870</v>
      </c>
      <c r="G267">
        <v>870</v>
      </c>
      <c r="H267" s="10">
        <v>2.0766E-2</v>
      </c>
      <c r="I267">
        <v>10</v>
      </c>
      <c r="J267">
        <v>870</v>
      </c>
      <c r="K267">
        <v>870</v>
      </c>
      <c r="L267" s="10">
        <v>1.9979E-2</v>
      </c>
      <c r="M267">
        <v>10</v>
      </c>
      <c r="N267">
        <v>870</v>
      </c>
      <c r="O267">
        <v>870</v>
      </c>
      <c r="P267" s="10">
        <v>2.0903000000000001E-2</v>
      </c>
      <c r="Q267">
        <v>10</v>
      </c>
    </row>
    <row r="268" spans="1:17" x14ac:dyDescent="0.3">
      <c r="B268" t="s">
        <v>267</v>
      </c>
      <c r="E268">
        <v>132</v>
      </c>
      <c r="F268">
        <v>132</v>
      </c>
      <c r="G268">
        <v>132</v>
      </c>
      <c r="H268" s="10">
        <v>2.6745000000000001E-2</v>
      </c>
      <c r="I268">
        <v>10</v>
      </c>
      <c r="J268">
        <v>132</v>
      </c>
      <c r="K268">
        <v>132</v>
      </c>
      <c r="L268" s="10">
        <v>2.5728999999999998E-2</v>
      </c>
      <c r="M268">
        <v>10</v>
      </c>
      <c r="N268">
        <v>132</v>
      </c>
      <c r="O268">
        <v>132</v>
      </c>
      <c r="P268" s="10">
        <v>3.4117000000000001E-2</v>
      </c>
      <c r="Q268">
        <v>10</v>
      </c>
    </row>
    <row r="269" spans="1:17" x14ac:dyDescent="0.3">
      <c r="B269" t="s">
        <v>264</v>
      </c>
      <c r="E269">
        <v>1892</v>
      </c>
      <c r="F269">
        <v>1892</v>
      </c>
      <c r="G269">
        <v>1892</v>
      </c>
      <c r="H269" s="10">
        <v>1.1004579999999999</v>
      </c>
      <c r="I269">
        <v>10</v>
      </c>
      <c r="J269">
        <v>1892</v>
      </c>
      <c r="K269">
        <v>1892</v>
      </c>
      <c r="L269" s="10">
        <v>1.078344</v>
      </c>
      <c r="M269">
        <v>10</v>
      </c>
      <c r="N269">
        <v>1892</v>
      </c>
      <c r="O269">
        <v>1892</v>
      </c>
      <c r="P269" s="10">
        <v>1.1275269999999999</v>
      </c>
      <c r="Q269">
        <v>10</v>
      </c>
    </row>
    <row r="270" spans="1:17" x14ac:dyDescent="0.3">
      <c r="B270" t="s">
        <v>266</v>
      </c>
      <c r="E270">
        <v>992</v>
      </c>
      <c r="F270">
        <v>992</v>
      </c>
      <c r="G270">
        <v>992</v>
      </c>
      <c r="H270" s="10">
        <v>24.939477</v>
      </c>
      <c r="I270">
        <v>10</v>
      </c>
      <c r="J270">
        <v>992</v>
      </c>
      <c r="K270">
        <v>992</v>
      </c>
      <c r="L270" s="10">
        <v>40.289845</v>
      </c>
      <c r="M270">
        <v>10</v>
      </c>
      <c r="N270">
        <v>992</v>
      </c>
      <c r="O270">
        <v>769.8</v>
      </c>
      <c r="P270" s="10">
        <v>249.5421</v>
      </c>
      <c r="Q270">
        <v>6</v>
      </c>
    </row>
    <row r="271" spans="1:17" x14ac:dyDescent="0.3">
      <c r="B271" t="s">
        <v>265</v>
      </c>
      <c r="E271">
        <v>56882</v>
      </c>
      <c r="F271">
        <v>56882</v>
      </c>
      <c r="G271">
        <v>56882</v>
      </c>
      <c r="H271" s="10">
        <v>4.8651859999999996</v>
      </c>
      <c r="I271">
        <v>10</v>
      </c>
      <c r="J271">
        <v>56882</v>
      </c>
      <c r="K271">
        <v>56882</v>
      </c>
      <c r="L271" s="10">
        <v>4.8998039999999996</v>
      </c>
      <c r="M271">
        <v>10</v>
      </c>
      <c r="N271">
        <v>56882</v>
      </c>
      <c r="O271">
        <v>56882</v>
      </c>
      <c r="P271" s="10">
        <v>5.0614229999999996</v>
      </c>
      <c r="Q271">
        <v>10</v>
      </c>
    </row>
    <row r="272" spans="1:17" x14ac:dyDescent="0.3">
      <c r="B272" t="s">
        <v>262</v>
      </c>
      <c r="E272">
        <v>3192</v>
      </c>
      <c r="F272">
        <v>3192</v>
      </c>
      <c r="G272">
        <v>3192</v>
      </c>
      <c r="H272" s="10">
        <v>38.413106999999997</v>
      </c>
      <c r="I272">
        <v>10</v>
      </c>
      <c r="J272">
        <v>3192</v>
      </c>
      <c r="K272">
        <v>3192</v>
      </c>
      <c r="L272" s="10">
        <v>55.546188999999998</v>
      </c>
      <c r="M272">
        <v>10</v>
      </c>
      <c r="N272">
        <v>3192</v>
      </c>
      <c r="O272">
        <v>3186.2</v>
      </c>
      <c r="P272" s="10">
        <v>317.68275699999998</v>
      </c>
      <c r="Q272">
        <v>9</v>
      </c>
    </row>
    <row r="273" spans="1:17" x14ac:dyDescent="0.3">
      <c r="B273" t="s">
        <v>263</v>
      </c>
      <c r="E273">
        <v>650</v>
      </c>
      <c r="F273">
        <v>650</v>
      </c>
      <c r="G273">
        <v>650</v>
      </c>
      <c r="H273" s="10">
        <v>26.936033999999999</v>
      </c>
      <c r="I273">
        <v>10</v>
      </c>
      <c r="J273">
        <v>650</v>
      </c>
      <c r="K273">
        <v>650</v>
      </c>
      <c r="L273" s="10">
        <v>41.733536000000001</v>
      </c>
      <c r="M273">
        <v>10</v>
      </c>
      <c r="N273">
        <v>650</v>
      </c>
      <c r="O273">
        <v>619.4</v>
      </c>
      <c r="P273" s="10">
        <v>237.36432400000001</v>
      </c>
      <c r="Q273">
        <v>7</v>
      </c>
    </row>
    <row r="275" spans="1:17" x14ac:dyDescent="0.3">
      <c r="A275" t="s">
        <v>373</v>
      </c>
      <c r="B275" t="s">
        <v>269</v>
      </c>
      <c r="E275">
        <v>132</v>
      </c>
      <c r="F275">
        <v>132</v>
      </c>
      <c r="G275">
        <v>132</v>
      </c>
      <c r="H275">
        <v>0.62221400000000004</v>
      </c>
      <c r="I275">
        <v>10</v>
      </c>
      <c r="J275">
        <v>132</v>
      </c>
      <c r="K275">
        <v>132</v>
      </c>
      <c r="L275">
        <v>1.493169</v>
      </c>
      <c r="M275">
        <v>10</v>
      </c>
      <c r="N275">
        <v>132</v>
      </c>
      <c r="O275">
        <v>132</v>
      </c>
      <c r="P275">
        <v>8.4804670000000009</v>
      </c>
      <c r="Q275">
        <v>10</v>
      </c>
    </row>
    <row r="276" spans="1:17" x14ac:dyDescent="0.3">
      <c r="B276" t="s">
        <v>270</v>
      </c>
      <c r="E276">
        <v>272</v>
      </c>
      <c r="F276">
        <v>272</v>
      </c>
      <c r="G276">
        <v>272</v>
      </c>
      <c r="H276">
        <v>2.3295249999999998</v>
      </c>
      <c r="I276">
        <v>10</v>
      </c>
      <c r="J276">
        <v>272</v>
      </c>
      <c r="K276">
        <v>272</v>
      </c>
      <c r="L276">
        <v>3.33941</v>
      </c>
      <c r="M276">
        <v>10</v>
      </c>
      <c r="N276">
        <v>272</v>
      </c>
      <c r="O276">
        <v>272</v>
      </c>
      <c r="P276">
        <v>19.96086</v>
      </c>
      <c r="Q276">
        <v>10</v>
      </c>
    </row>
    <row r="277" spans="1:17" x14ac:dyDescent="0.3">
      <c r="B277" t="s">
        <v>271</v>
      </c>
      <c r="E277">
        <v>812</v>
      </c>
      <c r="F277">
        <v>812</v>
      </c>
      <c r="G277">
        <v>801.2</v>
      </c>
      <c r="H277">
        <v>9.2344729999999995</v>
      </c>
      <c r="I277">
        <v>1</v>
      </c>
      <c r="J277">
        <v>812</v>
      </c>
      <c r="K277">
        <v>801.2</v>
      </c>
      <c r="L277">
        <v>115.56402799999999</v>
      </c>
      <c r="M277">
        <v>1</v>
      </c>
      <c r="N277">
        <v>800</v>
      </c>
      <c r="O277">
        <v>800</v>
      </c>
      <c r="P277" t="s">
        <v>128</v>
      </c>
      <c r="Q277">
        <v>0</v>
      </c>
    </row>
    <row r="278" spans="1:17" x14ac:dyDescent="0.3">
      <c r="B278" t="s">
        <v>272</v>
      </c>
      <c r="E278">
        <v>1056</v>
      </c>
      <c r="F278">
        <v>1056</v>
      </c>
      <c r="G278">
        <v>1053</v>
      </c>
      <c r="H278">
        <v>206.760851</v>
      </c>
      <c r="I278">
        <v>9</v>
      </c>
      <c r="J278">
        <v>1056</v>
      </c>
      <c r="K278">
        <v>1053</v>
      </c>
      <c r="L278">
        <v>319.123696</v>
      </c>
      <c r="M278">
        <v>9</v>
      </c>
      <c r="N278">
        <v>1056</v>
      </c>
      <c r="O278">
        <v>1029</v>
      </c>
      <c r="P278">
        <v>501.50386900000001</v>
      </c>
      <c r="Q278">
        <v>1</v>
      </c>
    </row>
    <row r="279" spans="1:17" x14ac:dyDescent="0.3">
      <c r="B279" t="s">
        <v>273</v>
      </c>
      <c r="E279">
        <v>552</v>
      </c>
      <c r="F279">
        <v>544</v>
      </c>
      <c r="G279">
        <v>544</v>
      </c>
      <c r="H279" t="s">
        <v>128</v>
      </c>
      <c r="I279">
        <v>0</v>
      </c>
      <c r="J279">
        <v>544</v>
      </c>
      <c r="K279">
        <v>544</v>
      </c>
      <c r="L279" t="s">
        <v>128</v>
      </c>
      <c r="M279">
        <v>0</v>
      </c>
      <c r="N279">
        <v>544</v>
      </c>
      <c r="O279">
        <v>544</v>
      </c>
      <c r="P279" t="s">
        <v>128</v>
      </c>
      <c r="Q279">
        <v>0</v>
      </c>
    </row>
    <row r="280" spans="1:17" x14ac:dyDescent="0.3">
      <c r="B280" t="s">
        <v>274</v>
      </c>
      <c r="E280">
        <v>650</v>
      </c>
      <c r="F280">
        <v>634</v>
      </c>
      <c r="G280">
        <v>634</v>
      </c>
      <c r="H280" t="s">
        <v>128</v>
      </c>
      <c r="I280">
        <v>0</v>
      </c>
      <c r="J280">
        <v>634</v>
      </c>
      <c r="K280">
        <v>634</v>
      </c>
      <c r="L280" t="s">
        <v>128</v>
      </c>
      <c r="M280">
        <v>0</v>
      </c>
      <c r="N280">
        <v>634</v>
      </c>
      <c r="O280">
        <v>634</v>
      </c>
      <c r="P280" t="s">
        <v>128</v>
      </c>
      <c r="Q280">
        <v>0</v>
      </c>
    </row>
    <row r="281" spans="1:17" x14ac:dyDescent="0.3">
      <c r="B281" t="s">
        <v>275</v>
      </c>
      <c r="E281">
        <v>4556</v>
      </c>
      <c r="F281">
        <v>4556</v>
      </c>
      <c r="G281">
        <v>4556</v>
      </c>
      <c r="H281">
        <v>0.47419600000000001</v>
      </c>
      <c r="I281">
        <v>10</v>
      </c>
      <c r="J281">
        <v>4556</v>
      </c>
      <c r="K281">
        <v>4556</v>
      </c>
      <c r="L281">
        <v>0.90260399999999996</v>
      </c>
      <c r="M281">
        <v>10</v>
      </c>
      <c r="N281">
        <v>4556</v>
      </c>
      <c r="O281">
        <v>4556</v>
      </c>
      <c r="P281">
        <v>7.5640559999999999</v>
      </c>
      <c r="Q281">
        <v>10</v>
      </c>
    </row>
    <row r="282" spans="1:17" x14ac:dyDescent="0.3">
      <c r="B282" t="s">
        <v>276</v>
      </c>
      <c r="E282">
        <v>1122</v>
      </c>
      <c r="F282">
        <v>1122</v>
      </c>
      <c r="G282">
        <v>1122</v>
      </c>
      <c r="H282">
        <v>1.6521000000000001E-2</v>
      </c>
      <c r="I282">
        <v>10</v>
      </c>
      <c r="J282">
        <v>1122</v>
      </c>
      <c r="K282">
        <v>1122</v>
      </c>
      <c r="L282">
        <v>1.6826000000000001E-2</v>
      </c>
      <c r="M282">
        <v>10</v>
      </c>
      <c r="N282">
        <v>1122</v>
      </c>
      <c r="O282">
        <v>1122</v>
      </c>
      <c r="P282">
        <v>1.8370000000000001E-2</v>
      </c>
      <c r="Q282">
        <v>10</v>
      </c>
    </row>
    <row r="283" spans="1:17" x14ac:dyDescent="0.3">
      <c r="B283" t="s">
        <v>277</v>
      </c>
      <c r="E283">
        <v>240</v>
      </c>
      <c r="F283">
        <v>240</v>
      </c>
      <c r="G283">
        <v>240</v>
      </c>
      <c r="H283">
        <v>0.32248100000000002</v>
      </c>
      <c r="I283">
        <v>10</v>
      </c>
      <c r="J283">
        <v>240</v>
      </c>
      <c r="K283">
        <v>240</v>
      </c>
      <c r="L283">
        <v>0.31092399999999998</v>
      </c>
      <c r="M283">
        <v>10</v>
      </c>
      <c r="N283">
        <v>240</v>
      </c>
      <c r="O283">
        <v>240</v>
      </c>
      <c r="P283">
        <v>4.3660560000000004</v>
      </c>
      <c r="Q283">
        <v>10</v>
      </c>
    </row>
    <row r="284" spans="1:17" x14ac:dyDescent="0.3">
      <c r="B284" t="s">
        <v>278</v>
      </c>
      <c r="E284">
        <v>6320</v>
      </c>
      <c r="F284">
        <v>6318</v>
      </c>
      <c r="G284">
        <v>6317.8</v>
      </c>
      <c r="H284" t="s">
        <v>128</v>
      </c>
      <c r="I284">
        <v>0</v>
      </c>
      <c r="J284">
        <v>6318</v>
      </c>
      <c r="K284">
        <v>6316.8</v>
      </c>
      <c r="L284" t="s">
        <v>128</v>
      </c>
      <c r="M284">
        <v>0</v>
      </c>
      <c r="N284">
        <v>6316</v>
      </c>
      <c r="O284">
        <v>6315.4</v>
      </c>
      <c r="P284" t="s">
        <v>128</v>
      </c>
      <c r="Q284">
        <v>0</v>
      </c>
    </row>
    <row r="285" spans="1:17" x14ac:dyDescent="0.3">
      <c r="B285" t="s">
        <v>279</v>
      </c>
      <c r="E285">
        <v>1892</v>
      </c>
      <c r="F285">
        <v>1892</v>
      </c>
      <c r="G285">
        <v>1892</v>
      </c>
      <c r="H285">
        <v>3.5911999999999999E-2</v>
      </c>
      <c r="I285">
        <v>10</v>
      </c>
      <c r="J285">
        <v>1892</v>
      </c>
      <c r="K285">
        <v>1892</v>
      </c>
      <c r="L285">
        <v>3.6667999999999999E-2</v>
      </c>
      <c r="M285">
        <v>10</v>
      </c>
      <c r="N285">
        <v>1892</v>
      </c>
      <c r="O285">
        <v>1892</v>
      </c>
      <c r="P285">
        <v>5.1289000000000001E-2</v>
      </c>
      <c r="Q285">
        <v>10</v>
      </c>
    </row>
    <row r="286" spans="1:17" x14ac:dyDescent="0.3">
      <c r="B286" t="s">
        <v>280</v>
      </c>
      <c r="E286">
        <v>306</v>
      </c>
      <c r="F286">
        <v>306</v>
      </c>
      <c r="G286">
        <v>305.8</v>
      </c>
      <c r="H286">
        <v>233.03797599999999</v>
      </c>
      <c r="I286">
        <v>9</v>
      </c>
      <c r="J286">
        <v>306</v>
      </c>
      <c r="K286">
        <v>305.2</v>
      </c>
      <c r="L286">
        <v>455.29675500000002</v>
      </c>
      <c r="M286">
        <v>6</v>
      </c>
      <c r="N286">
        <v>304</v>
      </c>
      <c r="O286">
        <v>304</v>
      </c>
      <c r="P286" t="s">
        <v>128</v>
      </c>
      <c r="Q286">
        <v>0</v>
      </c>
    </row>
    <row r="287" spans="1:17" x14ac:dyDescent="0.3">
      <c r="B287" t="s">
        <v>281</v>
      </c>
      <c r="E287">
        <v>3192</v>
      </c>
      <c r="F287">
        <v>3192</v>
      </c>
      <c r="G287">
        <v>3192</v>
      </c>
      <c r="H287">
        <v>9.5572000000000004E-2</v>
      </c>
      <c r="I287">
        <v>10</v>
      </c>
      <c r="J287">
        <v>3192</v>
      </c>
      <c r="K287">
        <v>3192</v>
      </c>
      <c r="L287">
        <v>0.14496999999999999</v>
      </c>
      <c r="M287">
        <v>10</v>
      </c>
      <c r="N287">
        <v>3192</v>
      </c>
      <c r="O287">
        <v>3192</v>
      </c>
      <c r="P287">
        <v>1.1012230000000001</v>
      </c>
      <c r="Q287">
        <v>10</v>
      </c>
    </row>
    <row r="288" spans="1:17" x14ac:dyDescent="0.3">
      <c r="B288" t="s">
        <v>282</v>
      </c>
      <c r="E288">
        <v>210</v>
      </c>
      <c r="F288">
        <v>210</v>
      </c>
      <c r="G288">
        <v>210</v>
      </c>
      <c r="H288">
        <v>0.16803399999999999</v>
      </c>
      <c r="I288">
        <v>10</v>
      </c>
      <c r="J288">
        <v>210</v>
      </c>
      <c r="K288">
        <v>210</v>
      </c>
      <c r="L288">
        <v>0.18629699999999999</v>
      </c>
      <c r="M288">
        <v>10</v>
      </c>
      <c r="N288">
        <v>210</v>
      </c>
      <c r="O288">
        <v>210</v>
      </c>
      <c r="P288">
        <v>1.462059</v>
      </c>
      <c r="Q288">
        <v>10</v>
      </c>
    </row>
    <row r="289" spans="2:17" x14ac:dyDescent="0.3">
      <c r="B289" t="s">
        <v>283</v>
      </c>
      <c r="E289">
        <v>156</v>
      </c>
      <c r="F289">
        <v>156</v>
      </c>
      <c r="G289">
        <v>156</v>
      </c>
      <c r="H289">
        <v>2.2814000000000001E-2</v>
      </c>
      <c r="I289">
        <v>10</v>
      </c>
      <c r="J289">
        <v>156</v>
      </c>
      <c r="K289">
        <v>156</v>
      </c>
      <c r="L289">
        <v>2.3390000000000001E-2</v>
      </c>
      <c r="M289">
        <v>10</v>
      </c>
      <c r="N289">
        <v>156</v>
      </c>
      <c r="O289">
        <v>156</v>
      </c>
      <c r="P289">
        <v>3.1507E-2</v>
      </c>
      <c r="Q289">
        <v>10</v>
      </c>
    </row>
    <row r="290" spans="2:17" x14ac:dyDescent="0.3">
      <c r="B290" t="s">
        <v>284</v>
      </c>
      <c r="E290">
        <v>1892</v>
      </c>
      <c r="F290">
        <v>1892</v>
      </c>
      <c r="G290">
        <v>1892</v>
      </c>
      <c r="H290">
        <v>3.9170999999999997E-2</v>
      </c>
      <c r="I290">
        <v>10</v>
      </c>
      <c r="J290">
        <v>1892</v>
      </c>
      <c r="K290">
        <v>1892</v>
      </c>
      <c r="L290">
        <v>3.8094999999999997E-2</v>
      </c>
      <c r="M290">
        <v>10</v>
      </c>
      <c r="N290">
        <v>1892</v>
      </c>
      <c r="O290">
        <v>1892</v>
      </c>
      <c r="P290">
        <v>7.2853000000000001E-2</v>
      </c>
      <c r="Q290">
        <v>10</v>
      </c>
    </row>
    <row r="291" spans="2:17" x14ac:dyDescent="0.3">
      <c r="B291" t="s">
        <v>285</v>
      </c>
      <c r="E291">
        <v>2970</v>
      </c>
      <c r="F291">
        <v>2970</v>
      </c>
      <c r="G291">
        <v>2970</v>
      </c>
      <c r="H291">
        <v>3.6852999999999997E-2</v>
      </c>
      <c r="I291">
        <v>10</v>
      </c>
      <c r="J291">
        <v>2970</v>
      </c>
      <c r="K291">
        <v>2970</v>
      </c>
      <c r="L291">
        <v>3.7760000000000002E-2</v>
      </c>
      <c r="M291">
        <v>10</v>
      </c>
      <c r="N291">
        <v>2970</v>
      </c>
      <c r="O291">
        <v>2970</v>
      </c>
      <c r="P291">
        <v>3.9685999999999999E-2</v>
      </c>
      <c r="Q291">
        <v>10</v>
      </c>
    </row>
    <row r="292" spans="2:17" x14ac:dyDescent="0.3">
      <c r="B292" t="s">
        <v>286</v>
      </c>
      <c r="E292">
        <v>2970</v>
      </c>
      <c r="F292">
        <v>2970</v>
      </c>
      <c r="G292">
        <v>2970</v>
      </c>
      <c r="H292">
        <v>0.121822</v>
      </c>
      <c r="I292">
        <v>10</v>
      </c>
      <c r="J292">
        <v>2970</v>
      </c>
      <c r="K292">
        <v>2970</v>
      </c>
      <c r="L292">
        <v>0.25314399999999998</v>
      </c>
      <c r="M292">
        <v>10</v>
      </c>
      <c r="N292">
        <v>2970</v>
      </c>
      <c r="O292">
        <v>2970</v>
      </c>
      <c r="P292">
        <v>1.091148</v>
      </c>
      <c r="Q292">
        <v>10</v>
      </c>
    </row>
    <row r="293" spans="2:17" x14ac:dyDescent="0.3">
      <c r="B293" t="s">
        <v>287</v>
      </c>
      <c r="E293">
        <v>4160</v>
      </c>
      <c r="F293">
        <v>4160</v>
      </c>
      <c r="G293">
        <v>4160</v>
      </c>
      <c r="H293">
        <v>6.0519999999999997E-2</v>
      </c>
      <c r="I293">
        <v>10</v>
      </c>
      <c r="J293">
        <v>4160</v>
      </c>
      <c r="K293">
        <v>4160</v>
      </c>
      <c r="L293">
        <v>6.0295000000000001E-2</v>
      </c>
      <c r="M293">
        <v>10</v>
      </c>
      <c r="N293">
        <v>4160</v>
      </c>
      <c r="O293">
        <v>4160</v>
      </c>
      <c r="P293">
        <v>0.11643000000000001</v>
      </c>
      <c r="Q293">
        <v>10</v>
      </c>
    </row>
    <row r="294" spans="2:17" x14ac:dyDescent="0.3">
      <c r="B294" t="s">
        <v>288</v>
      </c>
      <c r="E294">
        <v>5550</v>
      </c>
      <c r="F294">
        <v>5550</v>
      </c>
      <c r="G294">
        <v>5550</v>
      </c>
      <c r="H294">
        <v>0.52154400000000001</v>
      </c>
      <c r="I294">
        <v>10</v>
      </c>
      <c r="J294">
        <v>5550</v>
      </c>
      <c r="K294">
        <v>5550</v>
      </c>
      <c r="L294">
        <v>0.646509</v>
      </c>
      <c r="M294">
        <v>10</v>
      </c>
      <c r="N294">
        <v>5550</v>
      </c>
      <c r="O294">
        <v>5550</v>
      </c>
      <c r="P294">
        <v>2.5198939999999999</v>
      </c>
      <c r="Q294">
        <v>10</v>
      </c>
    </row>
    <row r="295" spans="2:17" x14ac:dyDescent="0.3">
      <c r="B295" t="s">
        <v>289</v>
      </c>
      <c r="E295">
        <v>1560</v>
      </c>
      <c r="F295">
        <v>1560</v>
      </c>
      <c r="G295">
        <v>1560</v>
      </c>
      <c r="H295">
        <v>5.0770000000000003E-2</v>
      </c>
      <c r="I295">
        <v>10</v>
      </c>
      <c r="J295">
        <v>1560</v>
      </c>
      <c r="K295">
        <v>1560</v>
      </c>
      <c r="L295">
        <v>5.1556999999999999E-2</v>
      </c>
      <c r="M295">
        <v>10</v>
      </c>
      <c r="N295">
        <v>1560</v>
      </c>
      <c r="O295">
        <v>1560</v>
      </c>
      <c r="P295">
        <v>6.7517999999999995E-2</v>
      </c>
      <c r="Q295">
        <v>10</v>
      </c>
    </row>
    <row r="296" spans="2:17" x14ac:dyDescent="0.3">
      <c r="B296" t="s">
        <v>290</v>
      </c>
      <c r="E296">
        <v>240</v>
      </c>
      <c r="F296">
        <v>240</v>
      </c>
      <c r="G296">
        <v>240</v>
      </c>
      <c r="H296">
        <v>1.5202E-2</v>
      </c>
      <c r="I296">
        <v>10</v>
      </c>
      <c r="J296">
        <v>240</v>
      </c>
      <c r="K296">
        <v>240</v>
      </c>
      <c r="L296">
        <v>1.499E-2</v>
      </c>
      <c r="M296">
        <v>10</v>
      </c>
      <c r="N296">
        <v>240</v>
      </c>
      <c r="O296">
        <v>240</v>
      </c>
      <c r="P296">
        <v>1.9421000000000001E-2</v>
      </c>
      <c r="Q296">
        <v>10</v>
      </c>
    </row>
    <row r="297" spans="2:17" x14ac:dyDescent="0.3">
      <c r="B297" t="s">
        <v>291</v>
      </c>
      <c r="E297">
        <v>110</v>
      </c>
      <c r="F297">
        <v>110</v>
      </c>
      <c r="G297">
        <v>110</v>
      </c>
      <c r="H297">
        <v>1.0368E-2</v>
      </c>
      <c r="I297">
        <v>10</v>
      </c>
      <c r="J297">
        <v>110</v>
      </c>
      <c r="K297">
        <v>110</v>
      </c>
      <c r="L297">
        <v>1.1283E-2</v>
      </c>
      <c r="M297">
        <v>10</v>
      </c>
      <c r="N297">
        <v>110</v>
      </c>
      <c r="O297">
        <v>110</v>
      </c>
      <c r="P297">
        <v>1.239E-2</v>
      </c>
      <c r="Q297">
        <v>10</v>
      </c>
    </row>
    <row r="298" spans="2:17" x14ac:dyDescent="0.3">
      <c r="B298" t="s">
        <v>292</v>
      </c>
      <c r="E298">
        <v>702</v>
      </c>
      <c r="F298">
        <v>702</v>
      </c>
      <c r="G298">
        <v>702</v>
      </c>
      <c r="H298">
        <v>6.2700000000000006E-2</v>
      </c>
      <c r="I298">
        <v>10</v>
      </c>
      <c r="J298">
        <v>702</v>
      </c>
      <c r="K298">
        <v>702</v>
      </c>
      <c r="L298">
        <v>7.5486999999999999E-2</v>
      </c>
      <c r="M298">
        <v>10</v>
      </c>
      <c r="N298">
        <v>702</v>
      </c>
      <c r="O298">
        <v>702</v>
      </c>
      <c r="P298">
        <v>0.351462</v>
      </c>
      <c r="Q298">
        <v>10</v>
      </c>
    </row>
    <row r="299" spans="2:17" x14ac:dyDescent="0.3">
      <c r="B299" t="s">
        <v>293</v>
      </c>
      <c r="E299">
        <v>3422</v>
      </c>
      <c r="F299">
        <v>3422</v>
      </c>
      <c r="G299">
        <v>3422</v>
      </c>
      <c r="H299">
        <v>11.11103</v>
      </c>
      <c r="I299">
        <v>10</v>
      </c>
      <c r="J299">
        <v>3422</v>
      </c>
      <c r="K299">
        <v>3422</v>
      </c>
      <c r="L299">
        <v>43.539906999999999</v>
      </c>
      <c r="M299">
        <v>10</v>
      </c>
      <c r="N299">
        <v>3422</v>
      </c>
      <c r="O299">
        <v>3421.2</v>
      </c>
      <c r="P299">
        <v>176.42665199999999</v>
      </c>
      <c r="Q299">
        <v>8</v>
      </c>
    </row>
    <row r="300" spans="2:17" x14ac:dyDescent="0.3">
      <c r="B300" t="s">
        <v>294</v>
      </c>
      <c r="E300">
        <v>15750</v>
      </c>
      <c r="F300">
        <v>15750</v>
      </c>
      <c r="G300">
        <v>15747.6</v>
      </c>
      <c r="H300">
        <v>68.874431000000001</v>
      </c>
      <c r="I300">
        <v>1</v>
      </c>
      <c r="J300">
        <v>15748</v>
      </c>
      <c r="K300">
        <v>15746.8</v>
      </c>
      <c r="L300" t="s">
        <v>128</v>
      </c>
      <c r="M300">
        <v>0</v>
      </c>
      <c r="N300">
        <v>15748</v>
      </c>
      <c r="O300">
        <v>15746</v>
      </c>
      <c r="P300" t="s">
        <v>128</v>
      </c>
      <c r="Q300">
        <v>0</v>
      </c>
    </row>
    <row r="301" spans="2:17" x14ac:dyDescent="0.3">
      <c r="B301" t="s">
        <v>295</v>
      </c>
      <c r="E301">
        <v>118680</v>
      </c>
      <c r="F301">
        <v>118662</v>
      </c>
      <c r="G301">
        <v>118660</v>
      </c>
      <c r="H301" t="s">
        <v>128</v>
      </c>
      <c r="I301">
        <v>0</v>
      </c>
      <c r="J301">
        <v>118664</v>
      </c>
      <c r="K301">
        <v>118660.2</v>
      </c>
      <c r="L301" t="s">
        <v>128</v>
      </c>
      <c r="M301">
        <v>0</v>
      </c>
      <c r="N301">
        <v>118662</v>
      </c>
      <c r="O301">
        <v>118660.2</v>
      </c>
      <c r="P301" t="s">
        <v>128</v>
      </c>
      <c r="Q301">
        <v>0</v>
      </c>
    </row>
    <row r="302" spans="2:17" x14ac:dyDescent="0.3">
      <c r="B302" t="s">
        <v>296</v>
      </c>
      <c r="E302">
        <v>1208900</v>
      </c>
      <c r="F302">
        <v>1208866</v>
      </c>
      <c r="G302">
        <v>1208864.2</v>
      </c>
      <c r="H302" t="s">
        <v>128</v>
      </c>
      <c r="I302">
        <v>0</v>
      </c>
      <c r="J302">
        <v>1208864</v>
      </c>
      <c r="K302">
        <v>1208863.2</v>
      </c>
      <c r="L302" t="s">
        <v>128</v>
      </c>
      <c r="M302">
        <v>0</v>
      </c>
      <c r="N302">
        <v>1208862</v>
      </c>
      <c r="O302">
        <v>1208860.6000000001</v>
      </c>
      <c r="P302" t="s">
        <v>128</v>
      </c>
      <c r="Q302">
        <v>0</v>
      </c>
    </row>
    <row r="303" spans="2:17" x14ac:dyDescent="0.3">
      <c r="B303" t="s">
        <v>297</v>
      </c>
      <c r="E303">
        <v>132</v>
      </c>
      <c r="F303">
        <v>132</v>
      </c>
      <c r="G303">
        <v>132</v>
      </c>
      <c r="H303">
        <v>0.63199499999999997</v>
      </c>
      <c r="I303">
        <v>10</v>
      </c>
      <c r="J303">
        <v>132</v>
      </c>
      <c r="K303">
        <v>132</v>
      </c>
      <c r="L303">
        <v>1.9756849999999999</v>
      </c>
      <c r="M303">
        <v>10</v>
      </c>
      <c r="N303">
        <v>132</v>
      </c>
      <c r="O303">
        <v>132</v>
      </c>
      <c r="P303">
        <v>10.626567</v>
      </c>
      <c r="Q303">
        <v>10</v>
      </c>
    </row>
    <row r="304" spans="2:17" x14ac:dyDescent="0.3">
      <c r="B304" t="s">
        <v>298</v>
      </c>
      <c r="E304">
        <v>4160</v>
      </c>
      <c r="F304">
        <v>4160</v>
      </c>
      <c r="G304">
        <v>4160</v>
      </c>
      <c r="H304">
        <v>6.6258999999999998E-2</v>
      </c>
      <c r="I304">
        <v>10</v>
      </c>
      <c r="J304">
        <v>4160</v>
      </c>
      <c r="K304">
        <v>4160</v>
      </c>
      <c r="L304">
        <v>6.7576999999999998E-2</v>
      </c>
      <c r="M304">
        <v>10</v>
      </c>
      <c r="N304">
        <v>4160</v>
      </c>
      <c r="O304">
        <v>4160</v>
      </c>
      <c r="P304">
        <v>6.8815000000000001E-2</v>
      </c>
      <c r="Q304">
        <v>10</v>
      </c>
    </row>
    <row r="305" spans="1:17" x14ac:dyDescent="0.3">
      <c r="B305" t="s">
        <v>299</v>
      </c>
      <c r="E305">
        <v>8742</v>
      </c>
      <c r="F305">
        <v>8742</v>
      </c>
      <c r="G305">
        <v>8742</v>
      </c>
      <c r="H305">
        <v>8.4746000000000002E-2</v>
      </c>
      <c r="I305">
        <v>10</v>
      </c>
      <c r="J305">
        <v>8742</v>
      </c>
      <c r="K305">
        <v>8742</v>
      </c>
      <c r="L305">
        <v>8.3361000000000005E-2</v>
      </c>
      <c r="M305">
        <v>10</v>
      </c>
      <c r="N305">
        <v>8742</v>
      </c>
      <c r="O305">
        <v>8742</v>
      </c>
      <c r="P305">
        <v>0.109069</v>
      </c>
      <c r="Q305">
        <v>10</v>
      </c>
    </row>
    <row r="306" spans="1:17" x14ac:dyDescent="0.3">
      <c r="B306" t="s">
        <v>300</v>
      </c>
      <c r="E306">
        <v>56</v>
      </c>
      <c r="F306">
        <v>56</v>
      </c>
      <c r="G306">
        <v>56</v>
      </c>
      <c r="H306">
        <v>1.2989000000000001E-2</v>
      </c>
      <c r="I306">
        <v>10</v>
      </c>
      <c r="J306">
        <v>56</v>
      </c>
      <c r="K306">
        <v>56</v>
      </c>
      <c r="L306">
        <v>1.3022000000000001E-2</v>
      </c>
      <c r="M306">
        <v>10</v>
      </c>
      <c r="N306">
        <v>56</v>
      </c>
      <c r="O306">
        <v>56</v>
      </c>
      <c r="P306">
        <v>1.375E-2</v>
      </c>
      <c r="Q306">
        <v>10</v>
      </c>
    </row>
    <row r="307" spans="1:17" x14ac:dyDescent="0.3">
      <c r="B307" t="s">
        <v>301</v>
      </c>
      <c r="E307">
        <v>600</v>
      </c>
      <c r="F307">
        <v>600</v>
      </c>
      <c r="G307">
        <v>600</v>
      </c>
      <c r="H307">
        <v>2.2669000000000002E-2</v>
      </c>
      <c r="I307">
        <v>10</v>
      </c>
      <c r="J307">
        <v>600</v>
      </c>
      <c r="K307">
        <v>600</v>
      </c>
      <c r="L307">
        <v>2.266E-2</v>
      </c>
      <c r="M307">
        <v>10</v>
      </c>
      <c r="N307">
        <v>600</v>
      </c>
      <c r="O307">
        <v>600</v>
      </c>
      <c r="P307">
        <v>2.3696999999999999E-2</v>
      </c>
      <c r="Q307">
        <v>10</v>
      </c>
    </row>
    <row r="308" spans="1:17" x14ac:dyDescent="0.3">
      <c r="B308" t="s">
        <v>302</v>
      </c>
      <c r="E308">
        <v>1260</v>
      </c>
      <c r="F308">
        <v>1260</v>
      </c>
      <c r="G308">
        <v>1260</v>
      </c>
      <c r="H308">
        <v>3.1810999999999999E-2</v>
      </c>
      <c r="I308">
        <v>10</v>
      </c>
      <c r="J308">
        <v>1260</v>
      </c>
      <c r="K308">
        <v>1260</v>
      </c>
      <c r="L308">
        <v>3.2649999999999998E-2</v>
      </c>
      <c r="M308">
        <v>10</v>
      </c>
      <c r="N308">
        <v>1260</v>
      </c>
      <c r="O308">
        <v>1260</v>
      </c>
      <c r="P308">
        <v>3.5652000000000003E-2</v>
      </c>
      <c r="Q308">
        <v>10</v>
      </c>
    </row>
    <row r="309" spans="1:17" x14ac:dyDescent="0.3">
      <c r="B309" t="s">
        <v>303</v>
      </c>
      <c r="E309">
        <v>110</v>
      </c>
      <c r="F309">
        <v>110</v>
      </c>
      <c r="G309">
        <v>110</v>
      </c>
      <c r="H309">
        <v>2.7979E-2</v>
      </c>
      <c r="I309">
        <v>10</v>
      </c>
      <c r="J309">
        <v>110</v>
      </c>
      <c r="K309">
        <v>110</v>
      </c>
      <c r="L309">
        <v>2.869E-2</v>
      </c>
      <c r="M309">
        <v>10</v>
      </c>
      <c r="N309">
        <v>110</v>
      </c>
      <c r="O309">
        <v>110</v>
      </c>
      <c r="P309">
        <v>8.5392999999999997E-2</v>
      </c>
      <c r="Q309">
        <v>10</v>
      </c>
    </row>
    <row r="310" spans="1:17" x14ac:dyDescent="0.3">
      <c r="B310" t="s">
        <v>304</v>
      </c>
      <c r="E310">
        <v>1892</v>
      </c>
      <c r="F310">
        <v>1892</v>
      </c>
      <c r="G310">
        <v>1892</v>
      </c>
      <c r="H310">
        <v>4.4971999999999998E-2</v>
      </c>
      <c r="I310">
        <v>10</v>
      </c>
      <c r="J310">
        <v>1892</v>
      </c>
      <c r="K310">
        <v>1892</v>
      </c>
      <c r="L310">
        <v>4.6987000000000001E-2</v>
      </c>
      <c r="M310">
        <v>10</v>
      </c>
      <c r="N310">
        <v>1892</v>
      </c>
      <c r="O310">
        <v>1892</v>
      </c>
      <c r="P310">
        <v>4.5601999999999997E-2</v>
      </c>
      <c r="Q310">
        <v>10</v>
      </c>
    </row>
    <row r="311" spans="1:17" x14ac:dyDescent="0.3">
      <c r="B311" t="s">
        <v>305</v>
      </c>
      <c r="E311">
        <v>3782</v>
      </c>
      <c r="F311">
        <v>3782</v>
      </c>
      <c r="G311">
        <v>3782</v>
      </c>
      <c r="H311">
        <v>5.6361000000000001E-2</v>
      </c>
      <c r="I311">
        <v>10</v>
      </c>
      <c r="J311">
        <v>3782</v>
      </c>
      <c r="K311">
        <v>3782</v>
      </c>
      <c r="L311">
        <v>5.7444000000000002E-2</v>
      </c>
      <c r="M311">
        <v>10</v>
      </c>
      <c r="N311">
        <v>3782</v>
      </c>
      <c r="O311">
        <v>3782</v>
      </c>
      <c r="P311">
        <v>5.9142E-2</v>
      </c>
      <c r="Q311">
        <v>10</v>
      </c>
    </row>
    <row r="312" spans="1:17" x14ac:dyDescent="0.3">
      <c r="A312" t="s">
        <v>356</v>
      </c>
      <c r="F312" s="9">
        <f t="array" ref="F312">AVERAGE((E275:E311-F275:F311)/E275:E311)</f>
        <v>1.0703888385985587E-3</v>
      </c>
      <c r="G312" s="9">
        <f t="array" ref="G312">AVERAGE((E275:E311-G275:G311)/E275:E311)</f>
        <v>1.5297770545712388E-3</v>
      </c>
      <c r="I312" s="1">
        <f>SUM(I275:I311)</f>
        <v>300</v>
      </c>
      <c r="J312" s="9">
        <f t="array" ref="J312">AVERAGE((E275:E311-J275:J311)/E275:E311)</f>
        <v>1.0734100949349437E-3</v>
      </c>
      <c r="K312" s="9">
        <f t="array" ref="K312">AVERAGE((E275:E311-K275:K311)/E275:E311)</f>
        <v>1.5883972655709772E-3</v>
      </c>
      <c r="M312" s="1">
        <f>SUM(M275:M311)</f>
        <v>296</v>
      </c>
      <c r="N312" s="9">
        <f t="array" ref="N312">AVERAGE((E275:E311-N275:N311)/E275:E311)</f>
        <v>1.6585245535141093E-3</v>
      </c>
      <c r="O312" s="9">
        <f t="array" ref="O312">AVERAGE((E275:E311-O275:O311)/E275:E311)</f>
        <v>2.3623139854379626E-3</v>
      </c>
      <c r="Q312" s="1">
        <f>SUM(Q275:Q311)</f>
        <v>279</v>
      </c>
    </row>
    <row r="313" spans="1:17" x14ac:dyDescent="0.3">
      <c r="A313" t="s">
        <v>374</v>
      </c>
      <c r="B313" t="s">
        <v>306</v>
      </c>
      <c r="E313">
        <v>9506</v>
      </c>
      <c r="F313">
        <v>9502</v>
      </c>
      <c r="G313">
        <v>9500.6</v>
      </c>
      <c r="H313" t="s">
        <v>128</v>
      </c>
      <c r="I313">
        <v>0</v>
      </c>
      <c r="J313">
        <v>9502</v>
      </c>
      <c r="K313">
        <v>9499.7999999999993</v>
      </c>
      <c r="L313" t="s">
        <v>128</v>
      </c>
      <c r="M313">
        <v>0</v>
      </c>
      <c r="N313">
        <v>9500</v>
      </c>
      <c r="O313">
        <v>9498.4</v>
      </c>
      <c r="P313" t="s">
        <v>128</v>
      </c>
      <c r="Q313">
        <v>0</v>
      </c>
    </row>
    <row r="314" spans="1:17" x14ac:dyDescent="0.3">
      <c r="B314" t="s">
        <v>307</v>
      </c>
      <c r="E314">
        <v>870</v>
      </c>
      <c r="F314">
        <v>870</v>
      </c>
      <c r="G314">
        <v>870</v>
      </c>
      <c r="H314">
        <v>5.0848999999999998E-2</v>
      </c>
      <c r="I314">
        <v>10</v>
      </c>
      <c r="J314">
        <v>870</v>
      </c>
      <c r="K314">
        <v>870</v>
      </c>
      <c r="L314">
        <v>5.6321999999999997E-2</v>
      </c>
      <c r="M314">
        <v>10</v>
      </c>
      <c r="N314">
        <v>870</v>
      </c>
      <c r="O314">
        <v>870</v>
      </c>
      <c r="P314">
        <v>0.111401</v>
      </c>
      <c r="Q314">
        <v>10</v>
      </c>
    </row>
    <row r="315" spans="1:17" x14ac:dyDescent="0.3">
      <c r="B315" t="s">
        <v>308</v>
      </c>
      <c r="E315">
        <v>870</v>
      </c>
      <c r="F315">
        <v>870</v>
      </c>
      <c r="G315">
        <v>870</v>
      </c>
      <c r="H315">
        <v>6.1698999999999997E-2</v>
      </c>
      <c r="I315">
        <v>10</v>
      </c>
      <c r="J315">
        <v>870</v>
      </c>
      <c r="K315">
        <v>870</v>
      </c>
      <c r="L315">
        <v>7.1170999999999998E-2</v>
      </c>
      <c r="M315">
        <v>10</v>
      </c>
      <c r="N315">
        <v>870</v>
      </c>
      <c r="O315">
        <v>870</v>
      </c>
      <c r="P315">
        <v>0.33549000000000001</v>
      </c>
      <c r="Q315">
        <v>10</v>
      </c>
    </row>
    <row r="316" spans="1:17" x14ac:dyDescent="0.3">
      <c r="B316" t="s">
        <v>309</v>
      </c>
      <c r="E316">
        <v>870</v>
      </c>
      <c r="F316">
        <v>870</v>
      </c>
      <c r="G316">
        <v>870</v>
      </c>
      <c r="H316">
        <v>0.23174600000000001</v>
      </c>
      <c r="I316">
        <v>10</v>
      </c>
      <c r="J316">
        <v>870</v>
      </c>
      <c r="K316">
        <v>870</v>
      </c>
      <c r="L316">
        <v>0.42836600000000002</v>
      </c>
      <c r="M316">
        <v>10</v>
      </c>
      <c r="N316">
        <v>870</v>
      </c>
      <c r="O316">
        <v>870</v>
      </c>
      <c r="P316">
        <v>2.7114980000000002</v>
      </c>
      <c r="Q316">
        <v>10</v>
      </c>
    </row>
    <row r="317" spans="1:17" x14ac:dyDescent="0.3">
      <c r="B317" t="s">
        <v>310</v>
      </c>
      <c r="E317">
        <v>870</v>
      </c>
      <c r="F317">
        <v>870</v>
      </c>
      <c r="G317">
        <v>870</v>
      </c>
      <c r="H317">
        <v>4.7317999999999999E-2</v>
      </c>
      <c r="I317">
        <v>10</v>
      </c>
      <c r="J317">
        <v>870</v>
      </c>
      <c r="K317">
        <v>870</v>
      </c>
      <c r="L317">
        <v>4.9598999999999997E-2</v>
      </c>
      <c r="M317">
        <v>10</v>
      </c>
      <c r="N317">
        <v>870</v>
      </c>
      <c r="O317">
        <v>870</v>
      </c>
      <c r="P317">
        <v>0.14761199999999999</v>
      </c>
      <c r="Q317">
        <v>10</v>
      </c>
    </row>
    <row r="318" spans="1:17" x14ac:dyDescent="0.3">
      <c r="B318" t="s">
        <v>311</v>
      </c>
      <c r="E318">
        <v>870</v>
      </c>
      <c r="F318">
        <v>870</v>
      </c>
      <c r="G318">
        <v>870</v>
      </c>
      <c r="H318">
        <v>9.7618999999999997E-2</v>
      </c>
      <c r="I318">
        <v>10</v>
      </c>
      <c r="J318">
        <v>870</v>
      </c>
      <c r="K318">
        <v>870</v>
      </c>
      <c r="L318">
        <v>0.12473099999999999</v>
      </c>
      <c r="M318">
        <v>10</v>
      </c>
      <c r="N318">
        <v>870</v>
      </c>
      <c r="O318">
        <v>870</v>
      </c>
      <c r="P318">
        <v>1.304557</v>
      </c>
      <c r="Q318">
        <v>10</v>
      </c>
    </row>
    <row r="319" spans="1:17" x14ac:dyDescent="0.3">
      <c r="B319" t="s">
        <v>312</v>
      </c>
      <c r="E319">
        <v>1190</v>
      </c>
      <c r="F319">
        <v>1190</v>
      </c>
      <c r="G319">
        <v>1190</v>
      </c>
      <c r="H319">
        <v>2.736078</v>
      </c>
      <c r="I319">
        <v>10</v>
      </c>
      <c r="J319">
        <v>1190</v>
      </c>
      <c r="K319">
        <v>1190</v>
      </c>
      <c r="L319">
        <v>6.2209339999999997</v>
      </c>
      <c r="M319">
        <v>10</v>
      </c>
      <c r="N319">
        <v>1190</v>
      </c>
      <c r="O319">
        <v>1190</v>
      </c>
      <c r="P319">
        <v>28.92285</v>
      </c>
      <c r="Q319">
        <v>10</v>
      </c>
    </row>
    <row r="320" spans="1:17" x14ac:dyDescent="0.3">
      <c r="B320" t="s">
        <v>313</v>
      </c>
      <c r="E320">
        <v>1190</v>
      </c>
      <c r="F320">
        <v>1190</v>
      </c>
      <c r="G320">
        <v>1190</v>
      </c>
      <c r="H320">
        <v>0.37238599999999999</v>
      </c>
      <c r="I320">
        <v>10</v>
      </c>
      <c r="J320">
        <v>1190</v>
      </c>
      <c r="K320">
        <v>1190</v>
      </c>
      <c r="L320">
        <v>0.33902700000000002</v>
      </c>
      <c r="M320">
        <v>10</v>
      </c>
      <c r="N320">
        <v>1190</v>
      </c>
      <c r="O320">
        <v>1190</v>
      </c>
      <c r="P320">
        <v>7.7003789999999999</v>
      </c>
      <c r="Q320">
        <v>10</v>
      </c>
    </row>
    <row r="321" spans="2:17" x14ac:dyDescent="0.3">
      <c r="B321" t="s">
        <v>314</v>
      </c>
      <c r="E321">
        <v>1190</v>
      </c>
      <c r="F321">
        <v>1190</v>
      </c>
      <c r="G321">
        <v>1190</v>
      </c>
      <c r="H321">
        <v>0.109126</v>
      </c>
      <c r="I321">
        <v>10</v>
      </c>
      <c r="J321">
        <v>1190</v>
      </c>
      <c r="K321">
        <v>1190</v>
      </c>
      <c r="L321">
        <v>0.16723099999999999</v>
      </c>
      <c r="M321">
        <v>10</v>
      </c>
      <c r="N321">
        <v>1190</v>
      </c>
      <c r="O321">
        <v>1190</v>
      </c>
      <c r="P321">
        <v>0.88632699999999998</v>
      </c>
      <c r="Q321">
        <v>10</v>
      </c>
    </row>
    <row r="322" spans="2:17" x14ac:dyDescent="0.3">
      <c r="B322" t="s">
        <v>315</v>
      </c>
      <c r="E322">
        <v>1190</v>
      </c>
      <c r="F322">
        <v>1190</v>
      </c>
      <c r="G322">
        <v>1190</v>
      </c>
      <c r="H322">
        <v>1.8704730000000001</v>
      </c>
      <c r="I322">
        <v>10</v>
      </c>
      <c r="J322">
        <v>1190</v>
      </c>
      <c r="K322">
        <v>1190</v>
      </c>
      <c r="L322">
        <v>4.0853659999999996</v>
      </c>
      <c r="M322">
        <v>10</v>
      </c>
      <c r="N322">
        <v>1190</v>
      </c>
      <c r="O322">
        <v>1190</v>
      </c>
      <c r="P322">
        <v>20.970738000000001</v>
      </c>
      <c r="Q322">
        <v>10</v>
      </c>
    </row>
    <row r="323" spans="2:17" x14ac:dyDescent="0.3">
      <c r="B323" t="s">
        <v>316</v>
      </c>
      <c r="E323">
        <v>1190</v>
      </c>
      <c r="F323">
        <v>1190</v>
      </c>
      <c r="G323">
        <v>1190</v>
      </c>
      <c r="H323">
        <v>0.164823</v>
      </c>
      <c r="I323">
        <v>10</v>
      </c>
      <c r="J323">
        <v>1190</v>
      </c>
      <c r="K323">
        <v>1190</v>
      </c>
      <c r="L323">
        <v>0.37022899999999997</v>
      </c>
      <c r="M323">
        <v>10</v>
      </c>
      <c r="N323">
        <v>1190</v>
      </c>
      <c r="O323">
        <v>1190</v>
      </c>
      <c r="P323">
        <v>2.718283</v>
      </c>
      <c r="Q323">
        <v>10</v>
      </c>
    </row>
    <row r="324" spans="2:17" x14ac:dyDescent="0.3">
      <c r="B324" t="s">
        <v>317</v>
      </c>
      <c r="E324">
        <v>1560</v>
      </c>
      <c r="F324">
        <v>1560</v>
      </c>
      <c r="G324">
        <v>1560</v>
      </c>
      <c r="H324">
        <v>0.47483999999999998</v>
      </c>
      <c r="I324">
        <v>10</v>
      </c>
      <c r="J324">
        <v>1560</v>
      </c>
      <c r="K324">
        <v>1560</v>
      </c>
      <c r="L324">
        <v>1.0730500000000001</v>
      </c>
      <c r="M324">
        <v>10</v>
      </c>
      <c r="N324">
        <v>1560</v>
      </c>
      <c r="O324">
        <v>1560</v>
      </c>
      <c r="P324">
        <v>5.6689999999999996</v>
      </c>
      <c r="Q324">
        <v>10</v>
      </c>
    </row>
    <row r="325" spans="2:17" x14ac:dyDescent="0.3">
      <c r="B325" t="s">
        <v>318</v>
      </c>
      <c r="E325">
        <v>1560</v>
      </c>
      <c r="F325">
        <v>1560</v>
      </c>
      <c r="G325">
        <v>1560</v>
      </c>
      <c r="H325">
        <v>14.788827</v>
      </c>
      <c r="I325">
        <v>10</v>
      </c>
      <c r="J325">
        <v>1560</v>
      </c>
      <c r="K325">
        <v>1560</v>
      </c>
      <c r="L325">
        <v>37.901781999999997</v>
      </c>
      <c r="M325">
        <v>10</v>
      </c>
      <c r="N325">
        <v>1560</v>
      </c>
      <c r="O325">
        <v>1559.8</v>
      </c>
      <c r="P325">
        <v>214.22058799999999</v>
      </c>
      <c r="Q325">
        <v>9</v>
      </c>
    </row>
    <row r="326" spans="2:17" x14ac:dyDescent="0.3">
      <c r="B326" t="s">
        <v>319</v>
      </c>
      <c r="E326">
        <v>1560</v>
      </c>
      <c r="F326">
        <v>1560</v>
      </c>
      <c r="G326">
        <v>1560</v>
      </c>
      <c r="H326">
        <v>1.1228320000000001</v>
      </c>
      <c r="I326">
        <v>10</v>
      </c>
      <c r="J326">
        <v>1560</v>
      </c>
      <c r="K326">
        <v>1560</v>
      </c>
      <c r="L326">
        <v>2.3185850000000001</v>
      </c>
      <c r="M326">
        <v>10</v>
      </c>
      <c r="N326">
        <v>1560</v>
      </c>
      <c r="O326">
        <v>1560</v>
      </c>
      <c r="P326">
        <v>9.6479289999999995</v>
      </c>
      <c r="Q326">
        <v>10</v>
      </c>
    </row>
    <row r="327" spans="2:17" x14ac:dyDescent="0.3">
      <c r="B327" t="s">
        <v>320</v>
      </c>
      <c r="E327">
        <v>1560</v>
      </c>
      <c r="F327">
        <v>1560</v>
      </c>
      <c r="G327">
        <v>1560</v>
      </c>
      <c r="H327">
        <v>3.712542</v>
      </c>
      <c r="I327">
        <v>10</v>
      </c>
      <c r="J327">
        <v>1560</v>
      </c>
      <c r="K327">
        <v>1560</v>
      </c>
      <c r="L327">
        <v>12.608275000000001</v>
      </c>
      <c r="M327">
        <v>10</v>
      </c>
      <c r="N327">
        <v>1560</v>
      </c>
      <c r="O327">
        <v>1560</v>
      </c>
      <c r="P327">
        <v>99.704441000000003</v>
      </c>
      <c r="Q327">
        <v>10</v>
      </c>
    </row>
    <row r="328" spans="2:17" x14ac:dyDescent="0.3">
      <c r="B328" t="s">
        <v>321</v>
      </c>
      <c r="E328">
        <v>1560</v>
      </c>
      <c r="F328">
        <v>1560</v>
      </c>
      <c r="G328">
        <v>1560</v>
      </c>
      <c r="H328">
        <v>54.430346999999998</v>
      </c>
      <c r="I328">
        <v>10</v>
      </c>
      <c r="J328">
        <v>1560</v>
      </c>
      <c r="K328">
        <v>1560</v>
      </c>
      <c r="L328">
        <v>136.80134799999999</v>
      </c>
      <c r="M328">
        <v>10</v>
      </c>
      <c r="N328">
        <v>1560</v>
      </c>
      <c r="O328">
        <v>1559.2</v>
      </c>
      <c r="P328">
        <v>301.93091600000002</v>
      </c>
      <c r="Q328">
        <v>6</v>
      </c>
    </row>
    <row r="329" spans="2:17" x14ac:dyDescent="0.3">
      <c r="B329" t="s">
        <v>322</v>
      </c>
      <c r="E329">
        <v>1980</v>
      </c>
      <c r="F329">
        <v>1980</v>
      </c>
      <c r="G329">
        <v>1980</v>
      </c>
      <c r="H329">
        <v>4.8413940000000002</v>
      </c>
      <c r="I329">
        <v>10</v>
      </c>
      <c r="J329">
        <v>1980</v>
      </c>
      <c r="K329">
        <v>1980</v>
      </c>
      <c r="L329">
        <v>8.4879580000000008</v>
      </c>
      <c r="M329">
        <v>10</v>
      </c>
      <c r="N329">
        <v>1980</v>
      </c>
      <c r="O329">
        <v>1980</v>
      </c>
      <c r="P329">
        <v>117.062737</v>
      </c>
      <c r="Q329">
        <v>10</v>
      </c>
    </row>
    <row r="330" spans="2:17" x14ac:dyDescent="0.3">
      <c r="B330" t="s">
        <v>323</v>
      </c>
      <c r="E330">
        <v>1980</v>
      </c>
      <c r="F330">
        <v>1980</v>
      </c>
      <c r="G330">
        <v>1980</v>
      </c>
      <c r="H330">
        <v>11.656392</v>
      </c>
      <c r="I330">
        <v>10</v>
      </c>
      <c r="J330">
        <v>1980</v>
      </c>
      <c r="K330">
        <v>1980</v>
      </c>
      <c r="L330">
        <v>22.338844000000002</v>
      </c>
      <c r="M330">
        <v>10</v>
      </c>
      <c r="N330">
        <v>1980</v>
      </c>
      <c r="O330">
        <v>1980</v>
      </c>
      <c r="P330">
        <v>251.09774300000001</v>
      </c>
      <c r="Q330">
        <v>10</v>
      </c>
    </row>
    <row r="331" spans="2:17" x14ac:dyDescent="0.3">
      <c r="B331" t="s">
        <v>324</v>
      </c>
      <c r="E331">
        <v>1980</v>
      </c>
      <c r="F331">
        <v>1980</v>
      </c>
      <c r="G331">
        <v>1980</v>
      </c>
      <c r="H331">
        <v>29.992871999999998</v>
      </c>
      <c r="I331">
        <v>10</v>
      </c>
      <c r="J331">
        <v>1980</v>
      </c>
      <c r="K331">
        <v>1980</v>
      </c>
      <c r="L331">
        <v>107.85496999999999</v>
      </c>
      <c r="M331">
        <v>10</v>
      </c>
      <c r="N331">
        <v>1980</v>
      </c>
      <c r="O331">
        <v>1978.8</v>
      </c>
      <c r="P331">
        <v>260.30610899999999</v>
      </c>
      <c r="Q331">
        <v>4</v>
      </c>
    </row>
    <row r="332" spans="2:17" x14ac:dyDescent="0.3">
      <c r="B332" t="s">
        <v>325</v>
      </c>
      <c r="E332">
        <v>1980</v>
      </c>
      <c r="F332">
        <v>1980</v>
      </c>
      <c r="G332">
        <v>1980</v>
      </c>
      <c r="H332">
        <v>7.600314</v>
      </c>
      <c r="I332">
        <v>10</v>
      </c>
      <c r="J332">
        <v>1980</v>
      </c>
      <c r="K332">
        <v>1980</v>
      </c>
      <c r="L332">
        <v>17.066994000000001</v>
      </c>
      <c r="M332">
        <v>10</v>
      </c>
      <c r="N332">
        <v>1980</v>
      </c>
      <c r="O332">
        <v>1980</v>
      </c>
      <c r="P332">
        <v>155.599479</v>
      </c>
      <c r="Q332">
        <v>10</v>
      </c>
    </row>
    <row r="333" spans="2:17" x14ac:dyDescent="0.3">
      <c r="B333" t="s">
        <v>326</v>
      </c>
      <c r="E333">
        <v>1980</v>
      </c>
      <c r="F333">
        <v>1980</v>
      </c>
      <c r="G333">
        <v>1980</v>
      </c>
      <c r="H333">
        <v>18.744143999999999</v>
      </c>
      <c r="I333">
        <v>10</v>
      </c>
      <c r="J333">
        <v>1980</v>
      </c>
      <c r="K333">
        <v>1980</v>
      </c>
      <c r="L333">
        <v>22.697413999999998</v>
      </c>
      <c r="M333">
        <v>10</v>
      </c>
      <c r="N333">
        <v>1980</v>
      </c>
      <c r="O333">
        <v>1980</v>
      </c>
      <c r="P333">
        <v>214.435137</v>
      </c>
      <c r="Q333">
        <v>10</v>
      </c>
    </row>
    <row r="334" spans="2:17" x14ac:dyDescent="0.3">
      <c r="B334" t="s">
        <v>327</v>
      </c>
      <c r="E334">
        <v>2450</v>
      </c>
      <c r="F334">
        <v>2450</v>
      </c>
      <c r="G334">
        <v>2450</v>
      </c>
      <c r="H334">
        <v>172.62588600000001</v>
      </c>
      <c r="I334">
        <v>10</v>
      </c>
      <c r="J334">
        <v>2450</v>
      </c>
      <c r="K334">
        <v>2449.6</v>
      </c>
      <c r="L334">
        <v>376.274475</v>
      </c>
      <c r="M334">
        <v>8</v>
      </c>
      <c r="N334">
        <v>2450</v>
      </c>
      <c r="O334">
        <v>2448.4</v>
      </c>
      <c r="P334">
        <v>276.65264999999999</v>
      </c>
      <c r="Q334">
        <v>2</v>
      </c>
    </row>
    <row r="335" spans="2:17" x14ac:dyDescent="0.3">
      <c r="B335" t="s">
        <v>328</v>
      </c>
      <c r="E335">
        <v>2450</v>
      </c>
      <c r="F335">
        <v>2450</v>
      </c>
      <c r="G335">
        <v>2449.6</v>
      </c>
      <c r="H335">
        <v>331.273867</v>
      </c>
      <c r="I335">
        <v>8</v>
      </c>
      <c r="J335">
        <v>2450</v>
      </c>
      <c r="K335">
        <v>2448.6</v>
      </c>
      <c r="L335">
        <v>201.676761</v>
      </c>
      <c r="M335">
        <v>3</v>
      </c>
      <c r="N335">
        <v>2450</v>
      </c>
      <c r="O335">
        <v>2448.1999999999998</v>
      </c>
      <c r="P335">
        <v>167.073037</v>
      </c>
      <c r="Q335">
        <v>1</v>
      </c>
    </row>
    <row r="336" spans="2:17" x14ac:dyDescent="0.3">
      <c r="B336" t="s">
        <v>329</v>
      </c>
      <c r="E336">
        <v>2450</v>
      </c>
      <c r="F336">
        <v>2450</v>
      </c>
      <c r="G336">
        <v>2448.1999999999998</v>
      </c>
      <c r="H336">
        <v>163.432129</v>
      </c>
      <c r="I336">
        <v>1</v>
      </c>
      <c r="J336">
        <v>2450</v>
      </c>
      <c r="K336">
        <v>2448.4</v>
      </c>
      <c r="L336">
        <v>449.74633899999998</v>
      </c>
      <c r="M336">
        <v>2</v>
      </c>
      <c r="N336">
        <v>2448</v>
      </c>
      <c r="O336">
        <v>2448</v>
      </c>
      <c r="P336" t="s">
        <v>128</v>
      </c>
      <c r="Q336">
        <v>0</v>
      </c>
    </row>
    <row r="337" spans="1:17" x14ac:dyDescent="0.3">
      <c r="B337" t="s">
        <v>330</v>
      </c>
      <c r="E337">
        <v>2450</v>
      </c>
      <c r="F337">
        <v>2450</v>
      </c>
      <c r="G337">
        <v>2450</v>
      </c>
      <c r="H337">
        <v>5.8398300000000001</v>
      </c>
      <c r="I337">
        <v>10</v>
      </c>
      <c r="J337">
        <v>2450</v>
      </c>
      <c r="K337">
        <v>2450</v>
      </c>
      <c r="L337">
        <v>24.759246000000001</v>
      </c>
      <c r="M337">
        <v>10</v>
      </c>
      <c r="N337">
        <v>2450</v>
      </c>
      <c r="O337">
        <v>2450</v>
      </c>
      <c r="P337">
        <v>66.254902000000001</v>
      </c>
      <c r="Q337">
        <v>10</v>
      </c>
    </row>
    <row r="338" spans="1:17" x14ac:dyDescent="0.3">
      <c r="B338" t="s">
        <v>331</v>
      </c>
      <c r="E338">
        <v>2450</v>
      </c>
      <c r="F338">
        <v>2450</v>
      </c>
      <c r="G338">
        <v>2450</v>
      </c>
      <c r="H338">
        <v>21.099012999999999</v>
      </c>
      <c r="I338">
        <v>10</v>
      </c>
      <c r="J338">
        <v>2450</v>
      </c>
      <c r="K338">
        <v>2450</v>
      </c>
      <c r="L338">
        <v>56.547513000000002</v>
      </c>
      <c r="M338">
        <v>10</v>
      </c>
      <c r="N338">
        <v>2450</v>
      </c>
      <c r="O338">
        <v>2449.1999999999998</v>
      </c>
      <c r="P338">
        <v>179.09348700000001</v>
      </c>
      <c r="Q338">
        <v>6</v>
      </c>
    </row>
    <row r="339" spans="1:17" x14ac:dyDescent="0.3">
      <c r="B339" t="s">
        <v>332</v>
      </c>
      <c r="E339">
        <v>2756</v>
      </c>
      <c r="F339">
        <v>2754</v>
      </c>
      <c r="G339">
        <v>2754</v>
      </c>
      <c r="H339" t="s">
        <v>128</v>
      </c>
      <c r="I339">
        <v>0</v>
      </c>
      <c r="J339">
        <v>2754</v>
      </c>
      <c r="K339">
        <v>2754</v>
      </c>
      <c r="L339" t="s">
        <v>128</v>
      </c>
      <c r="M339">
        <v>0</v>
      </c>
      <c r="N339">
        <v>2754</v>
      </c>
      <c r="O339">
        <v>2753.4</v>
      </c>
      <c r="P339" t="s">
        <v>128</v>
      </c>
      <c r="Q339">
        <v>0</v>
      </c>
    </row>
    <row r="340" spans="1:17" x14ac:dyDescent="0.3">
      <c r="B340" t="s">
        <v>333</v>
      </c>
      <c r="E340">
        <v>2756</v>
      </c>
      <c r="F340">
        <v>2756</v>
      </c>
      <c r="G340">
        <v>2755</v>
      </c>
      <c r="H340">
        <v>347.56674500000003</v>
      </c>
      <c r="I340">
        <v>5</v>
      </c>
      <c r="J340">
        <v>2756</v>
      </c>
      <c r="K340">
        <v>2754.6</v>
      </c>
      <c r="L340">
        <v>435.06119000000001</v>
      </c>
      <c r="M340">
        <v>3</v>
      </c>
      <c r="N340">
        <v>2754</v>
      </c>
      <c r="O340">
        <v>2754</v>
      </c>
      <c r="P340" t="s">
        <v>128</v>
      </c>
      <c r="Q340">
        <v>0</v>
      </c>
    </row>
    <row r="341" spans="1:17" x14ac:dyDescent="0.3">
      <c r="B341" t="s">
        <v>334</v>
      </c>
      <c r="E341">
        <v>2756</v>
      </c>
      <c r="F341">
        <v>2756</v>
      </c>
      <c r="G341">
        <v>2756</v>
      </c>
      <c r="H341">
        <v>211.600472</v>
      </c>
      <c r="I341">
        <v>10</v>
      </c>
      <c r="J341">
        <v>2756</v>
      </c>
      <c r="K341">
        <v>2755.6</v>
      </c>
      <c r="L341">
        <v>290.29485199999999</v>
      </c>
      <c r="M341">
        <v>8</v>
      </c>
      <c r="N341">
        <v>2756</v>
      </c>
      <c r="O341">
        <v>2754.2</v>
      </c>
      <c r="P341">
        <v>34.916555000000002</v>
      </c>
      <c r="Q341">
        <v>1</v>
      </c>
    </row>
    <row r="342" spans="1:17" x14ac:dyDescent="0.3">
      <c r="B342" t="s">
        <v>335</v>
      </c>
      <c r="E342">
        <v>2756</v>
      </c>
      <c r="F342">
        <v>2756</v>
      </c>
      <c r="G342">
        <v>2755.6</v>
      </c>
      <c r="H342">
        <v>432.92617300000001</v>
      </c>
      <c r="I342">
        <v>8</v>
      </c>
      <c r="J342">
        <v>2756</v>
      </c>
      <c r="K342">
        <v>2754.2</v>
      </c>
      <c r="L342">
        <v>92.464871000000002</v>
      </c>
      <c r="M342">
        <v>2</v>
      </c>
      <c r="N342">
        <v>2756</v>
      </c>
      <c r="O342">
        <v>2753.4</v>
      </c>
      <c r="P342">
        <v>351.68395199999998</v>
      </c>
      <c r="Q342">
        <v>2</v>
      </c>
    </row>
    <row r="343" spans="1:17" x14ac:dyDescent="0.3">
      <c r="B343" t="s">
        <v>336</v>
      </c>
      <c r="E343">
        <v>2756</v>
      </c>
      <c r="F343">
        <v>2756</v>
      </c>
      <c r="G343">
        <v>2756</v>
      </c>
      <c r="H343">
        <v>78.220129999999997</v>
      </c>
      <c r="I343">
        <v>10</v>
      </c>
      <c r="J343">
        <v>2756</v>
      </c>
      <c r="K343">
        <v>2756</v>
      </c>
      <c r="L343">
        <v>126.90325</v>
      </c>
      <c r="M343">
        <v>10</v>
      </c>
      <c r="N343">
        <v>2756</v>
      </c>
      <c r="O343">
        <v>2754</v>
      </c>
      <c r="P343">
        <v>376.667216</v>
      </c>
      <c r="Q343">
        <v>3</v>
      </c>
    </row>
    <row r="344" spans="1:17" x14ac:dyDescent="0.3">
      <c r="B344" t="s">
        <v>337</v>
      </c>
      <c r="E344">
        <v>3422</v>
      </c>
      <c r="F344">
        <v>3420</v>
      </c>
      <c r="G344">
        <v>3420</v>
      </c>
      <c r="H344" t="s">
        <v>128</v>
      </c>
      <c r="I344">
        <v>0</v>
      </c>
      <c r="J344">
        <v>3420</v>
      </c>
      <c r="K344">
        <v>3420</v>
      </c>
      <c r="L344" t="s">
        <v>128</v>
      </c>
      <c r="M344">
        <v>0</v>
      </c>
      <c r="N344">
        <v>3420</v>
      </c>
      <c r="O344">
        <v>3419</v>
      </c>
      <c r="P344" t="s">
        <v>128</v>
      </c>
      <c r="Q344">
        <v>0</v>
      </c>
    </row>
    <row r="345" spans="1:17" x14ac:dyDescent="0.3">
      <c r="B345" t="s">
        <v>338</v>
      </c>
      <c r="E345">
        <v>3422</v>
      </c>
      <c r="F345">
        <v>3420</v>
      </c>
      <c r="G345">
        <v>3419.8</v>
      </c>
      <c r="H345" t="s">
        <v>128</v>
      </c>
      <c r="I345">
        <v>0</v>
      </c>
      <c r="J345">
        <v>3420</v>
      </c>
      <c r="K345">
        <v>3419.8</v>
      </c>
      <c r="L345" t="s">
        <v>128</v>
      </c>
      <c r="M345">
        <v>0</v>
      </c>
      <c r="N345">
        <v>3418</v>
      </c>
      <c r="O345">
        <v>3418</v>
      </c>
      <c r="P345" t="s">
        <v>128</v>
      </c>
      <c r="Q345">
        <v>0</v>
      </c>
    </row>
    <row r="346" spans="1:17" x14ac:dyDescent="0.3">
      <c r="B346" t="s">
        <v>339</v>
      </c>
      <c r="E346">
        <v>3422</v>
      </c>
      <c r="F346">
        <v>3422</v>
      </c>
      <c r="G346">
        <v>3420</v>
      </c>
      <c r="H346">
        <v>16.975104999999999</v>
      </c>
      <c r="I346">
        <v>1</v>
      </c>
      <c r="J346">
        <v>3422</v>
      </c>
      <c r="K346">
        <v>3420.2</v>
      </c>
      <c r="L346">
        <v>298.04281300000002</v>
      </c>
      <c r="M346">
        <v>3</v>
      </c>
      <c r="N346">
        <v>3418</v>
      </c>
      <c r="O346">
        <v>3418</v>
      </c>
      <c r="P346" t="s">
        <v>128</v>
      </c>
      <c r="Q346">
        <v>0</v>
      </c>
    </row>
    <row r="347" spans="1:17" x14ac:dyDescent="0.3">
      <c r="B347" t="s">
        <v>340</v>
      </c>
      <c r="E347">
        <v>3422</v>
      </c>
      <c r="F347">
        <v>3422</v>
      </c>
      <c r="G347">
        <v>3420.6</v>
      </c>
      <c r="H347">
        <v>403.99632000000003</v>
      </c>
      <c r="I347">
        <v>3</v>
      </c>
      <c r="J347">
        <v>3422</v>
      </c>
      <c r="K347">
        <v>3420</v>
      </c>
      <c r="L347">
        <v>390.081389</v>
      </c>
      <c r="M347">
        <v>2</v>
      </c>
      <c r="N347">
        <v>3420</v>
      </c>
      <c r="O347">
        <v>3418.8</v>
      </c>
      <c r="P347" t="s">
        <v>128</v>
      </c>
      <c r="Q347">
        <v>0</v>
      </c>
    </row>
    <row r="348" spans="1:17" x14ac:dyDescent="0.3">
      <c r="B348" t="s">
        <v>341</v>
      </c>
      <c r="E348">
        <v>3422</v>
      </c>
      <c r="F348">
        <v>3422</v>
      </c>
      <c r="G348">
        <v>3422</v>
      </c>
      <c r="H348">
        <v>56.383349000000003</v>
      </c>
      <c r="I348">
        <v>10</v>
      </c>
      <c r="J348">
        <v>3422</v>
      </c>
      <c r="K348">
        <v>3422</v>
      </c>
      <c r="L348">
        <v>112.865067</v>
      </c>
      <c r="M348">
        <v>10</v>
      </c>
      <c r="N348">
        <v>3422</v>
      </c>
      <c r="O348">
        <v>3419.8</v>
      </c>
      <c r="P348">
        <v>221.10914500000001</v>
      </c>
      <c r="Q348">
        <v>4</v>
      </c>
    </row>
    <row r="349" spans="1:17" x14ac:dyDescent="0.3">
      <c r="A349" t="s">
        <v>356</v>
      </c>
      <c r="F349">
        <f t="array" ref="F349">AVERAGE((E313:E348-F313:F348)/E313:E348)</f>
        <v>6.4316204118668987E-5</v>
      </c>
      <c r="G349" s="9">
        <f t="array" ref="G349">AVERAGE((E313:E348-G313:G348)/E313:E348)</f>
        <v>1.3668380236406345E-4</v>
      </c>
      <c r="I349" s="1">
        <f>SUM(I313:I348)</f>
        <v>286</v>
      </c>
      <c r="J349">
        <f t="array" ref="J349">AVERAGE((E313:E348-J313:J348)/E313:E348)</f>
        <v>6.4316204118668987E-5</v>
      </c>
      <c r="K349" s="9">
        <f t="array" ref="K349">AVERAGE((E313:E348-K313:K348)/E313:E348)</f>
        <v>1.7804775639946262E-4</v>
      </c>
      <c r="M349" s="1">
        <f>SUM(M313:M348)</f>
        <v>271</v>
      </c>
      <c r="N349" s="9">
        <f t="array" ref="N349">AVERAGE((E313:E348-N313:N348)/E313:E348)</f>
        <v>1.7793352398109421E-4</v>
      </c>
      <c r="O349" s="9">
        <f t="array" ref="O349">AVERAGE((E313:E348-O313:O348)/E313:E348)</f>
        <v>3.7113900748942318E-4</v>
      </c>
      <c r="Q349" s="1">
        <f>SUM(Q313:Q348)</f>
        <v>218</v>
      </c>
    </row>
    <row r="350" spans="1:17" x14ac:dyDescent="0.3">
      <c r="H350" s="11"/>
      <c r="L350" s="11"/>
      <c r="P350" s="11"/>
    </row>
    <row r="351" spans="1:17" x14ac:dyDescent="0.3">
      <c r="H351" s="11"/>
      <c r="L351" s="11"/>
      <c r="P351" s="11"/>
    </row>
    <row r="352" spans="1:17" x14ac:dyDescent="0.3">
      <c r="A352" t="s">
        <v>375</v>
      </c>
      <c r="B352" t="s">
        <v>256</v>
      </c>
      <c r="C352">
        <v>8738</v>
      </c>
      <c r="E352">
        <v>10171</v>
      </c>
      <c r="F352">
        <v>10171</v>
      </c>
      <c r="G352">
        <v>10171</v>
      </c>
      <c r="H352" s="11">
        <v>7.4334379999999998</v>
      </c>
      <c r="I352">
        <v>10</v>
      </c>
      <c r="J352">
        <v>10171</v>
      </c>
      <c r="K352">
        <v>10171</v>
      </c>
      <c r="L352" s="11">
        <v>12.298964</v>
      </c>
      <c r="M352">
        <v>10</v>
      </c>
      <c r="N352">
        <v>10171</v>
      </c>
      <c r="O352">
        <v>10171</v>
      </c>
      <c r="P352" s="11">
        <v>38.009168000000003</v>
      </c>
      <c r="Q352">
        <v>10</v>
      </c>
    </row>
    <row r="353" spans="2:17" x14ac:dyDescent="0.3">
      <c r="B353" t="s">
        <v>261</v>
      </c>
      <c r="C353">
        <v>9800</v>
      </c>
      <c r="E353">
        <v>127</v>
      </c>
      <c r="F353">
        <v>127</v>
      </c>
      <c r="G353">
        <v>127.5</v>
      </c>
      <c r="H353" s="11">
        <v>435.75250599999998</v>
      </c>
      <c r="I353">
        <v>5</v>
      </c>
      <c r="J353">
        <v>127</v>
      </c>
      <c r="K353">
        <v>127.7</v>
      </c>
      <c r="L353" s="11">
        <v>441.54089299999998</v>
      </c>
      <c r="M353">
        <v>4</v>
      </c>
      <c r="N353">
        <v>128</v>
      </c>
      <c r="O353">
        <v>264.2</v>
      </c>
      <c r="P353" t="s">
        <v>128</v>
      </c>
      <c r="Q353">
        <v>0</v>
      </c>
    </row>
    <row r="354" spans="2:17" x14ac:dyDescent="0.3">
      <c r="B354" t="s">
        <v>257</v>
      </c>
      <c r="C354">
        <v>10240</v>
      </c>
      <c r="E354">
        <v>184</v>
      </c>
      <c r="F354">
        <v>184</v>
      </c>
      <c r="G354">
        <v>184.1</v>
      </c>
      <c r="H354" s="11">
        <v>309.81883399999998</v>
      </c>
      <c r="I354">
        <v>9</v>
      </c>
      <c r="J354">
        <v>184</v>
      </c>
      <c r="K354">
        <v>184.1</v>
      </c>
      <c r="L354" s="11">
        <v>385.72237100000001</v>
      </c>
      <c r="M354">
        <v>9</v>
      </c>
      <c r="N354">
        <v>184</v>
      </c>
      <c r="O354">
        <v>226.9</v>
      </c>
      <c r="P354" s="11">
        <v>235.67856</v>
      </c>
      <c r="Q354">
        <v>4</v>
      </c>
    </row>
    <row r="355" spans="2:17" x14ac:dyDescent="0.3">
      <c r="B355" t="s">
        <v>259</v>
      </c>
      <c r="C355">
        <v>11143</v>
      </c>
      <c r="E355">
        <v>130</v>
      </c>
      <c r="F355">
        <v>130</v>
      </c>
      <c r="G355">
        <v>180.2</v>
      </c>
      <c r="H355" s="11">
        <v>411.093232</v>
      </c>
      <c r="I355">
        <v>5</v>
      </c>
      <c r="J355">
        <v>130</v>
      </c>
      <c r="K355">
        <v>266.10000000000002</v>
      </c>
      <c r="L355" s="11">
        <v>460.54564299999998</v>
      </c>
      <c r="M355">
        <v>3</v>
      </c>
      <c r="N355">
        <v>221</v>
      </c>
      <c r="O355">
        <v>430.2</v>
      </c>
      <c r="P355" t="s">
        <v>128</v>
      </c>
      <c r="Q355">
        <v>0</v>
      </c>
    </row>
    <row r="356" spans="2:17" x14ac:dyDescent="0.3">
      <c r="B356" t="s">
        <v>255</v>
      </c>
      <c r="C356">
        <v>13992</v>
      </c>
      <c r="E356">
        <v>2843</v>
      </c>
      <c r="F356">
        <v>2843</v>
      </c>
      <c r="G356">
        <v>2843</v>
      </c>
      <c r="H356" s="11">
        <v>38.682299999999998</v>
      </c>
      <c r="I356">
        <v>10</v>
      </c>
      <c r="J356">
        <v>2843</v>
      </c>
      <c r="K356">
        <v>2843</v>
      </c>
      <c r="L356" s="11">
        <v>66.572568000000004</v>
      </c>
      <c r="M356">
        <v>10</v>
      </c>
      <c r="N356">
        <v>2843</v>
      </c>
      <c r="O356">
        <v>2844.1</v>
      </c>
      <c r="P356" s="11">
        <v>302.66302400000001</v>
      </c>
      <c r="Q356">
        <v>8</v>
      </c>
    </row>
    <row r="357" spans="2:17" x14ac:dyDescent="0.3">
      <c r="B357" t="s">
        <v>254</v>
      </c>
      <c r="C357">
        <v>15606</v>
      </c>
      <c r="E357">
        <v>139</v>
      </c>
      <c r="F357">
        <v>139</v>
      </c>
      <c r="G357">
        <v>139</v>
      </c>
      <c r="H357" s="11">
        <v>80.630517999999995</v>
      </c>
      <c r="I357">
        <v>10</v>
      </c>
      <c r="J357">
        <v>139</v>
      </c>
      <c r="K357">
        <v>143.69999999999999</v>
      </c>
      <c r="L357" s="11">
        <v>97.267493000000002</v>
      </c>
      <c r="M357">
        <v>9</v>
      </c>
      <c r="N357">
        <v>139</v>
      </c>
      <c r="O357">
        <v>284.3</v>
      </c>
      <c r="P357" s="11">
        <v>276.80141300000003</v>
      </c>
      <c r="Q357">
        <v>1</v>
      </c>
    </row>
    <row r="358" spans="2:17" x14ac:dyDescent="0.3">
      <c r="B358" t="s">
        <v>260</v>
      </c>
      <c r="C358">
        <v>16386</v>
      </c>
      <c r="E358">
        <v>386</v>
      </c>
      <c r="F358">
        <v>386</v>
      </c>
      <c r="G358">
        <v>386</v>
      </c>
      <c r="H358" s="11">
        <v>323.71170699999999</v>
      </c>
      <c r="I358">
        <v>10</v>
      </c>
      <c r="J358">
        <v>386</v>
      </c>
      <c r="K358">
        <v>399.2</v>
      </c>
      <c r="L358" s="11">
        <v>380.24668000000003</v>
      </c>
      <c r="M358">
        <v>8</v>
      </c>
      <c r="N358">
        <v>386</v>
      </c>
      <c r="O358">
        <v>452.6</v>
      </c>
      <c r="P358" s="11">
        <v>244.97678400000001</v>
      </c>
      <c r="Q358">
        <v>2</v>
      </c>
    </row>
    <row r="359" spans="2:17" x14ac:dyDescent="0.3">
      <c r="B359" t="s">
        <v>258</v>
      </c>
      <c r="C359">
        <v>16840</v>
      </c>
      <c r="E359">
        <v>334</v>
      </c>
      <c r="F359">
        <v>334</v>
      </c>
      <c r="G359">
        <v>334</v>
      </c>
      <c r="H359" s="11">
        <v>96.957645999999997</v>
      </c>
      <c r="I359">
        <v>10</v>
      </c>
      <c r="J359">
        <v>334</v>
      </c>
      <c r="K359">
        <v>334</v>
      </c>
      <c r="L359" s="11">
        <v>155.20020199999999</v>
      </c>
      <c r="M359">
        <v>10</v>
      </c>
      <c r="N359">
        <v>334</v>
      </c>
      <c r="O359">
        <v>392.4</v>
      </c>
      <c r="P359" s="11">
        <v>409.50014399999998</v>
      </c>
      <c r="Q359">
        <v>3</v>
      </c>
    </row>
    <row r="363" spans="2:17" x14ac:dyDescent="0.3">
      <c r="F363" s="15"/>
      <c r="G363" s="15"/>
      <c r="H363" s="15"/>
      <c r="I363" s="15"/>
      <c r="J363" s="15"/>
      <c r="K363" s="15"/>
    </row>
    <row r="365" spans="2:17" x14ac:dyDescent="0.3">
      <c r="D365" s="13"/>
      <c r="F365" s="11"/>
      <c r="H365" s="11"/>
      <c r="J365" s="11"/>
    </row>
    <row r="366" spans="2:17" x14ac:dyDescent="0.3">
      <c r="F366" s="11"/>
      <c r="H366" s="11"/>
    </row>
    <row r="367" spans="2:17" ht="17.399999999999999" x14ac:dyDescent="0.3">
      <c r="D367" s="12"/>
      <c r="F367" s="11"/>
      <c r="H367" s="11"/>
      <c r="J367" s="11"/>
    </row>
    <row r="368" spans="2:17" ht="17.399999999999999" x14ac:dyDescent="0.3">
      <c r="D368" s="12"/>
      <c r="F368" s="11"/>
      <c r="H368" s="11"/>
    </row>
    <row r="369" spans="4:10" ht="17.399999999999999" x14ac:dyDescent="0.3">
      <c r="D369" s="14"/>
      <c r="F369" s="11"/>
      <c r="H369" s="11"/>
      <c r="J369" s="11"/>
    </row>
    <row r="370" spans="4:10" ht="17.399999999999999" x14ac:dyDescent="0.3">
      <c r="D370" s="12"/>
      <c r="F370" s="11"/>
      <c r="H370" s="11"/>
      <c r="J370" s="11"/>
    </row>
    <row r="371" spans="4:10" ht="17.399999999999999" x14ac:dyDescent="0.3">
      <c r="D371" s="12"/>
      <c r="F371" s="11"/>
      <c r="H371" s="11"/>
      <c r="J371" s="11"/>
    </row>
    <row r="372" spans="4:10" ht="17.399999999999999" x14ac:dyDescent="0.3">
      <c r="D372" s="14"/>
      <c r="F372" s="11"/>
      <c r="H372" s="11"/>
      <c r="J372" s="11"/>
    </row>
  </sheetData>
  <mergeCells count="3">
    <mergeCell ref="F363:G363"/>
    <mergeCell ref="H363:I363"/>
    <mergeCell ref="J363:K3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 le</cp:lastModifiedBy>
  <dcterms:created xsi:type="dcterms:W3CDTF">2026-06-30T09:44:54Z</dcterms:created>
  <dcterms:modified xsi:type="dcterms:W3CDTF">2026-07-01T10:26:59Z</dcterms:modified>
</cp:coreProperties>
</file>